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430" codeName="{2109D909-C6D8-E34B-4C66-09127ED2DC46}"/>
  <workbookPr filterPrivacy="1" codeName="ThisWorkbook" defaultThemeVersion="124226"/>
  <xr:revisionPtr revIDLastSave="0" documentId="13_ncr:1_{E7EF925A-06E8-4C7E-A99F-D25768BBA03B}" xr6:coauthVersionLast="45" xr6:coauthVersionMax="45" xr10:uidLastSave="{00000000-0000-0000-0000-000000000000}"/>
  <bookViews>
    <workbookView xWindow="-108" yWindow="-108" windowWidth="23256" windowHeight="12576" activeTab="2" xr2:uid="{00000000-000D-0000-FFFF-FFFF00000000}"/>
  </bookViews>
  <sheets>
    <sheet name="Pozisyon" sheetId="5" r:id="rId1"/>
    <sheet name="Data - Simülasyon- P&amp;L" sheetId="4" r:id="rId2"/>
    <sheet name="Sonuç" sheetId="6" r:id="rId3"/>
  </sheets>
  <functionGroups builtInGroupCount="19"/>
  <definedNames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3" i="6" l="1"/>
  <c r="AI4" i="4"/>
  <c r="AJ4" i="4"/>
  <c r="AI5" i="4"/>
  <c r="AJ5" i="4"/>
  <c r="AI6" i="4"/>
  <c r="AJ6" i="4"/>
  <c r="AI7" i="4"/>
  <c r="AJ7" i="4"/>
  <c r="AI8" i="4"/>
  <c r="AJ8" i="4"/>
  <c r="AI9" i="4"/>
  <c r="AJ9" i="4"/>
  <c r="AI10" i="4"/>
  <c r="AJ10" i="4"/>
  <c r="AI11" i="4"/>
  <c r="AJ11" i="4"/>
  <c r="AI12" i="4"/>
  <c r="AJ12" i="4"/>
  <c r="AI13" i="4"/>
  <c r="AJ13" i="4"/>
  <c r="AI14" i="4"/>
  <c r="AJ14" i="4"/>
  <c r="AI15" i="4"/>
  <c r="AJ15" i="4"/>
  <c r="AI16" i="4"/>
  <c r="AJ16" i="4"/>
  <c r="AI17" i="4"/>
  <c r="AJ17" i="4"/>
  <c r="AI18" i="4"/>
  <c r="AJ18" i="4"/>
  <c r="AI19" i="4"/>
  <c r="AJ19" i="4"/>
  <c r="AI20" i="4"/>
  <c r="AJ20" i="4"/>
  <c r="AI21" i="4"/>
  <c r="AJ21" i="4"/>
  <c r="AI22" i="4"/>
  <c r="AJ22" i="4"/>
  <c r="AI23" i="4"/>
  <c r="AJ23" i="4"/>
  <c r="AI24" i="4"/>
  <c r="AJ24" i="4"/>
  <c r="AI25" i="4"/>
  <c r="AJ25" i="4"/>
  <c r="AI26" i="4"/>
  <c r="AJ26" i="4"/>
  <c r="AI27" i="4"/>
  <c r="AJ27" i="4"/>
  <c r="AI28" i="4"/>
  <c r="AJ28" i="4"/>
  <c r="AI29" i="4"/>
  <c r="AJ29" i="4"/>
  <c r="AI30" i="4"/>
  <c r="AJ30" i="4"/>
  <c r="AI31" i="4"/>
  <c r="AJ31" i="4"/>
  <c r="AI32" i="4"/>
  <c r="AJ32" i="4"/>
  <c r="AI33" i="4"/>
  <c r="AJ33" i="4"/>
  <c r="AI34" i="4"/>
  <c r="AJ34" i="4"/>
  <c r="AI35" i="4"/>
  <c r="AJ35" i="4"/>
  <c r="AI36" i="4"/>
  <c r="AJ36" i="4"/>
  <c r="AI37" i="4"/>
  <c r="AJ37" i="4"/>
  <c r="AI38" i="4"/>
  <c r="AJ38" i="4"/>
  <c r="AI39" i="4"/>
  <c r="AJ39" i="4"/>
  <c r="AI40" i="4"/>
  <c r="AJ40" i="4"/>
  <c r="AI41" i="4"/>
  <c r="AJ41" i="4"/>
  <c r="AI42" i="4"/>
  <c r="AJ42" i="4"/>
  <c r="AI43" i="4"/>
  <c r="AJ43" i="4"/>
  <c r="AI44" i="4"/>
  <c r="AJ44" i="4"/>
  <c r="AI45" i="4"/>
  <c r="AJ45" i="4"/>
  <c r="AI46" i="4"/>
  <c r="AJ46" i="4"/>
  <c r="AI47" i="4"/>
  <c r="AJ47" i="4"/>
  <c r="AI48" i="4"/>
  <c r="AJ48" i="4"/>
  <c r="AI49" i="4"/>
  <c r="AJ49" i="4"/>
  <c r="AI50" i="4"/>
  <c r="AJ50" i="4"/>
  <c r="AI51" i="4"/>
  <c r="AJ51" i="4"/>
  <c r="AI52" i="4"/>
  <c r="AJ52" i="4"/>
  <c r="AI53" i="4"/>
  <c r="AJ53" i="4"/>
  <c r="AI54" i="4"/>
  <c r="AJ54" i="4"/>
  <c r="AI55" i="4"/>
  <c r="AJ55" i="4"/>
  <c r="AI56" i="4"/>
  <c r="AJ56" i="4"/>
  <c r="AI57" i="4"/>
  <c r="AJ57" i="4"/>
  <c r="AI58" i="4"/>
  <c r="AJ58" i="4"/>
  <c r="AI59" i="4"/>
  <c r="AJ59" i="4"/>
  <c r="AI60" i="4"/>
  <c r="AJ60" i="4"/>
  <c r="AI61" i="4"/>
  <c r="AJ61" i="4"/>
  <c r="AI62" i="4"/>
  <c r="AJ62" i="4"/>
  <c r="AI63" i="4"/>
  <c r="AJ63" i="4"/>
  <c r="AI64" i="4"/>
  <c r="AJ64" i="4"/>
  <c r="AI65" i="4"/>
  <c r="AJ65" i="4"/>
  <c r="AI66" i="4"/>
  <c r="AJ66" i="4"/>
  <c r="AI67" i="4"/>
  <c r="AJ67" i="4"/>
  <c r="AI68" i="4"/>
  <c r="AJ68" i="4"/>
  <c r="AI69" i="4"/>
  <c r="AJ69" i="4"/>
  <c r="AI70" i="4"/>
  <c r="AJ70" i="4"/>
  <c r="AI71" i="4"/>
  <c r="AJ71" i="4"/>
  <c r="AI72" i="4"/>
  <c r="AJ72" i="4"/>
  <c r="AI73" i="4"/>
  <c r="AJ73" i="4"/>
  <c r="AI74" i="4"/>
  <c r="AJ74" i="4"/>
  <c r="AI75" i="4"/>
  <c r="AJ75" i="4"/>
  <c r="AI76" i="4"/>
  <c r="AJ76" i="4"/>
  <c r="AI77" i="4"/>
  <c r="AJ77" i="4"/>
  <c r="AI78" i="4"/>
  <c r="AJ78" i="4"/>
  <c r="AI79" i="4"/>
  <c r="AJ79" i="4"/>
  <c r="AI80" i="4"/>
  <c r="AJ80" i="4"/>
  <c r="AI81" i="4"/>
  <c r="AJ81" i="4"/>
  <c r="AI82" i="4"/>
  <c r="AJ82" i="4"/>
  <c r="AI83" i="4"/>
  <c r="AJ83" i="4"/>
  <c r="AI84" i="4"/>
  <c r="AJ84" i="4"/>
  <c r="AI85" i="4"/>
  <c r="AJ85" i="4"/>
  <c r="AI86" i="4"/>
  <c r="AJ86" i="4"/>
  <c r="AI87" i="4"/>
  <c r="AJ87" i="4"/>
  <c r="AI88" i="4"/>
  <c r="AJ88" i="4"/>
  <c r="AI89" i="4"/>
  <c r="AJ89" i="4"/>
  <c r="AI90" i="4"/>
  <c r="AJ90" i="4"/>
  <c r="AI91" i="4"/>
  <c r="AJ91" i="4"/>
  <c r="AI92" i="4"/>
  <c r="AJ92" i="4"/>
  <c r="AI93" i="4"/>
  <c r="AJ93" i="4"/>
  <c r="AI94" i="4"/>
  <c r="AJ94" i="4"/>
  <c r="AI95" i="4"/>
  <c r="AJ95" i="4"/>
  <c r="AI96" i="4"/>
  <c r="AJ96" i="4"/>
  <c r="AI97" i="4"/>
  <c r="AJ97" i="4"/>
  <c r="AI98" i="4"/>
  <c r="AJ98" i="4"/>
  <c r="AI99" i="4"/>
  <c r="AJ99" i="4"/>
  <c r="AI100" i="4"/>
  <c r="AJ100" i="4"/>
  <c r="AI101" i="4"/>
  <c r="AJ101" i="4"/>
  <c r="AI102" i="4"/>
  <c r="AJ102" i="4"/>
  <c r="AI103" i="4"/>
  <c r="AJ103" i="4"/>
  <c r="AI104" i="4"/>
  <c r="AJ104" i="4"/>
  <c r="AI105" i="4"/>
  <c r="AJ105" i="4"/>
  <c r="AI106" i="4"/>
  <c r="AJ106" i="4"/>
  <c r="AI107" i="4"/>
  <c r="AJ107" i="4"/>
  <c r="AI108" i="4"/>
  <c r="AJ108" i="4"/>
  <c r="AI109" i="4"/>
  <c r="AJ109" i="4"/>
  <c r="AI110" i="4"/>
  <c r="AJ110" i="4"/>
  <c r="AI111" i="4"/>
  <c r="AJ111" i="4"/>
  <c r="AI112" i="4"/>
  <c r="AJ112" i="4"/>
  <c r="AI113" i="4"/>
  <c r="AJ113" i="4"/>
  <c r="AI114" i="4"/>
  <c r="AJ114" i="4"/>
  <c r="AI115" i="4"/>
  <c r="AJ115" i="4"/>
  <c r="AI116" i="4"/>
  <c r="AJ116" i="4"/>
  <c r="AI117" i="4"/>
  <c r="AJ117" i="4"/>
  <c r="AI118" i="4"/>
  <c r="AJ118" i="4"/>
  <c r="AI119" i="4"/>
  <c r="AJ119" i="4"/>
  <c r="AI120" i="4"/>
  <c r="AJ120" i="4"/>
  <c r="AI121" i="4"/>
  <c r="AJ121" i="4"/>
  <c r="AI122" i="4"/>
  <c r="AJ122" i="4"/>
  <c r="AI123" i="4"/>
  <c r="AJ123" i="4"/>
  <c r="AI124" i="4"/>
  <c r="AJ124" i="4"/>
  <c r="AI125" i="4"/>
  <c r="AJ125" i="4"/>
  <c r="AI126" i="4"/>
  <c r="AJ126" i="4"/>
  <c r="AI127" i="4"/>
  <c r="AJ127" i="4"/>
  <c r="AI128" i="4"/>
  <c r="AJ128" i="4"/>
  <c r="AI129" i="4"/>
  <c r="AJ129" i="4"/>
  <c r="AI130" i="4"/>
  <c r="AJ130" i="4"/>
  <c r="AI131" i="4"/>
  <c r="AJ131" i="4"/>
  <c r="AI132" i="4"/>
  <c r="AJ132" i="4"/>
  <c r="AI133" i="4"/>
  <c r="AJ133" i="4"/>
  <c r="AI134" i="4"/>
  <c r="AJ134" i="4"/>
  <c r="AI135" i="4"/>
  <c r="AJ135" i="4"/>
  <c r="AI136" i="4"/>
  <c r="AJ136" i="4"/>
  <c r="AI137" i="4"/>
  <c r="AJ137" i="4"/>
  <c r="AI138" i="4"/>
  <c r="AJ138" i="4"/>
  <c r="AI139" i="4"/>
  <c r="AJ139" i="4"/>
  <c r="AI140" i="4"/>
  <c r="AJ140" i="4"/>
  <c r="AI141" i="4"/>
  <c r="AJ141" i="4"/>
  <c r="AI142" i="4"/>
  <c r="AJ142" i="4"/>
  <c r="AI143" i="4"/>
  <c r="AJ143" i="4"/>
  <c r="AI144" i="4"/>
  <c r="AJ144" i="4"/>
  <c r="AI145" i="4"/>
  <c r="AJ145" i="4"/>
  <c r="AI146" i="4"/>
  <c r="AJ146" i="4"/>
  <c r="AI147" i="4"/>
  <c r="AJ147" i="4"/>
  <c r="AI148" i="4"/>
  <c r="AJ148" i="4"/>
  <c r="AI149" i="4"/>
  <c r="AJ149" i="4"/>
  <c r="AI150" i="4"/>
  <c r="AJ150" i="4"/>
  <c r="AI151" i="4"/>
  <c r="AJ151" i="4"/>
  <c r="AI152" i="4"/>
  <c r="AJ152" i="4"/>
  <c r="AI153" i="4"/>
  <c r="AJ153" i="4"/>
  <c r="AI154" i="4"/>
  <c r="AJ154" i="4"/>
  <c r="AI155" i="4"/>
  <c r="AJ155" i="4"/>
  <c r="AI156" i="4"/>
  <c r="AJ156" i="4"/>
  <c r="AI157" i="4"/>
  <c r="AJ157" i="4"/>
  <c r="AI158" i="4"/>
  <c r="AJ158" i="4"/>
  <c r="AI159" i="4"/>
  <c r="AJ159" i="4"/>
  <c r="AI160" i="4"/>
  <c r="AJ160" i="4"/>
  <c r="AI161" i="4"/>
  <c r="AJ161" i="4"/>
  <c r="AI162" i="4"/>
  <c r="AJ162" i="4"/>
  <c r="AI163" i="4"/>
  <c r="AJ163" i="4"/>
  <c r="AI164" i="4"/>
  <c r="AJ164" i="4"/>
  <c r="AI165" i="4"/>
  <c r="AJ165" i="4"/>
  <c r="AI166" i="4"/>
  <c r="AJ166" i="4"/>
  <c r="AI167" i="4"/>
  <c r="AJ167" i="4"/>
  <c r="AI168" i="4"/>
  <c r="AJ168" i="4"/>
  <c r="AI169" i="4"/>
  <c r="AJ169" i="4"/>
  <c r="AI170" i="4"/>
  <c r="AJ170" i="4"/>
  <c r="AI171" i="4"/>
  <c r="AJ171" i="4"/>
  <c r="AI172" i="4"/>
  <c r="AJ172" i="4"/>
  <c r="AI173" i="4"/>
  <c r="AJ173" i="4"/>
  <c r="AI174" i="4"/>
  <c r="AJ174" i="4"/>
  <c r="AI175" i="4"/>
  <c r="AJ175" i="4"/>
  <c r="AI176" i="4"/>
  <c r="AJ176" i="4"/>
  <c r="AI177" i="4"/>
  <c r="AJ177" i="4"/>
  <c r="AI178" i="4"/>
  <c r="AJ178" i="4"/>
  <c r="AI179" i="4"/>
  <c r="AJ179" i="4"/>
  <c r="AI180" i="4"/>
  <c r="AJ180" i="4"/>
  <c r="AI181" i="4"/>
  <c r="AJ181" i="4"/>
  <c r="AI182" i="4"/>
  <c r="AJ182" i="4"/>
  <c r="AI183" i="4"/>
  <c r="AJ183" i="4"/>
  <c r="AI184" i="4"/>
  <c r="AJ184" i="4"/>
  <c r="AI185" i="4"/>
  <c r="AJ185" i="4"/>
  <c r="AI186" i="4"/>
  <c r="AJ186" i="4"/>
  <c r="AI187" i="4"/>
  <c r="AJ187" i="4"/>
  <c r="AI188" i="4"/>
  <c r="AJ188" i="4"/>
  <c r="AI189" i="4"/>
  <c r="AJ189" i="4"/>
  <c r="AI190" i="4"/>
  <c r="AJ190" i="4"/>
  <c r="AI191" i="4"/>
  <c r="AJ191" i="4"/>
  <c r="AI192" i="4"/>
  <c r="AJ192" i="4"/>
  <c r="AI193" i="4"/>
  <c r="AJ193" i="4"/>
  <c r="AI194" i="4"/>
  <c r="AJ194" i="4"/>
  <c r="AI195" i="4"/>
  <c r="AJ195" i="4"/>
  <c r="AI196" i="4"/>
  <c r="AJ196" i="4"/>
  <c r="AI197" i="4"/>
  <c r="AJ197" i="4"/>
  <c r="AI198" i="4"/>
  <c r="AJ198" i="4"/>
  <c r="AI199" i="4"/>
  <c r="AJ199" i="4"/>
  <c r="AI200" i="4"/>
  <c r="AJ200" i="4"/>
  <c r="AI201" i="4"/>
  <c r="AJ201" i="4"/>
  <c r="AI202" i="4"/>
  <c r="AJ202" i="4"/>
  <c r="AI203" i="4"/>
  <c r="AJ203" i="4"/>
  <c r="AI204" i="4"/>
  <c r="AJ204" i="4"/>
  <c r="AI205" i="4"/>
  <c r="AJ205" i="4"/>
  <c r="AI206" i="4"/>
  <c r="AJ206" i="4"/>
  <c r="AI207" i="4"/>
  <c r="AJ207" i="4"/>
  <c r="AI208" i="4"/>
  <c r="AJ208" i="4"/>
  <c r="AI209" i="4"/>
  <c r="AJ209" i="4"/>
  <c r="AI210" i="4"/>
  <c r="AJ210" i="4"/>
  <c r="AI211" i="4"/>
  <c r="AJ211" i="4"/>
  <c r="AI212" i="4"/>
  <c r="AJ212" i="4"/>
  <c r="AI213" i="4"/>
  <c r="AJ213" i="4"/>
  <c r="AI214" i="4"/>
  <c r="AJ214" i="4"/>
  <c r="AI215" i="4"/>
  <c r="AJ215" i="4"/>
  <c r="AI216" i="4"/>
  <c r="AJ216" i="4"/>
  <c r="AI217" i="4"/>
  <c r="AJ217" i="4"/>
  <c r="AI218" i="4"/>
  <c r="AJ218" i="4"/>
  <c r="AI219" i="4"/>
  <c r="AJ219" i="4"/>
  <c r="AI220" i="4"/>
  <c r="AJ220" i="4"/>
  <c r="AI221" i="4"/>
  <c r="AJ221" i="4"/>
  <c r="AI222" i="4"/>
  <c r="AJ222" i="4"/>
  <c r="AI223" i="4"/>
  <c r="AJ223" i="4"/>
  <c r="AI224" i="4"/>
  <c r="AJ224" i="4"/>
  <c r="AI225" i="4"/>
  <c r="AJ225" i="4"/>
  <c r="AI226" i="4"/>
  <c r="AJ226" i="4"/>
  <c r="AI227" i="4"/>
  <c r="AJ227" i="4"/>
  <c r="AI228" i="4"/>
  <c r="AJ228" i="4"/>
  <c r="AI229" i="4"/>
  <c r="AJ229" i="4"/>
  <c r="AI230" i="4"/>
  <c r="AJ230" i="4"/>
  <c r="AI231" i="4"/>
  <c r="AJ231" i="4"/>
  <c r="AI232" i="4"/>
  <c r="AJ232" i="4"/>
  <c r="AI233" i="4"/>
  <c r="AJ233" i="4"/>
  <c r="AI234" i="4"/>
  <c r="AJ234" i="4"/>
  <c r="AI235" i="4"/>
  <c r="AJ235" i="4"/>
  <c r="AI236" i="4"/>
  <c r="AJ236" i="4"/>
  <c r="AI237" i="4"/>
  <c r="AJ237" i="4"/>
  <c r="AI238" i="4"/>
  <c r="AJ238" i="4"/>
  <c r="AI239" i="4"/>
  <c r="AJ239" i="4"/>
  <c r="AI240" i="4"/>
  <c r="AJ240" i="4"/>
  <c r="AI241" i="4"/>
  <c r="AJ241" i="4"/>
  <c r="AI242" i="4"/>
  <c r="AJ242" i="4"/>
  <c r="AI243" i="4"/>
  <c r="AJ243" i="4"/>
  <c r="AI244" i="4"/>
  <c r="AJ244" i="4"/>
  <c r="AI245" i="4"/>
  <c r="AJ245" i="4"/>
  <c r="AI246" i="4"/>
  <c r="AJ246" i="4"/>
  <c r="AI247" i="4"/>
  <c r="AJ247" i="4"/>
  <c r="AI248" i="4"/>
  <c r="AJ248" i="4"/>
  <c r="AI249" i="4"/>
  <c r="AJ249" i="4"/>
  <c r="AI250" i="4"/>
  <c r="AJ250" i="4"/>
  <c r="AI251" i="4"/>
  <c r="AJ251" i="4"/>
  <c r="AI252" i="4"/>
  <c r="AJ252" i="4"/>
  <c r="AI253" i="4"/>
  <c r="AJ253" i="4"/>
  <c r="AI254" i="4"/>
  <c r="AJ254" i="4"/>
  <c r="AJ3" i="4"/>
  <c r="AI3" i="4"/>
  <c r="U5" i="5"/>
  <c r="U6" i="5"/>
  <c r="U7" i="5"/>
  <c r="U8" i="5"/>
  <c r="U9" i="5"/>
  <c r="U10" i="5"/>
  <c r="T9" i="5"/>
  <c r="T10" i="5"/>
  <c r="U254" i="4" l="1"/>
  <c r="V254" i="4"/>
  <c r="W254" i="4"/>
  <c r="X254" i="4"/>
  <c r="Y254" i="4"/>
  <c r="Z254" i="4"/>
  <c r="AA254" i="4"/>
  <c r="K3" i="4" l="1"/>
  <c r="U3" i="4" s="1"/>
  <c r="K4" i="4" l="1"/>
  <c r="U4" i="4" s="1"/>
  <c r="U4" i="5"/>
  <c r="AD4" i="4" l="1"/>
  <c r="AD254" i="4"/>
  <c r="AD3" i="4"/>
  <c r="AG254" i="4"/>
  <c r="AF254" i="4"/>
  <c r="AH254" i="4"/>
  <c r="AE254" i="4"/>
  <c r="K17" i="4"/>
  <c r="U17" i="4" s="1"/>
  <c r="AD17" i="4" s="1"/>
  <c r="K16" i="4"/>
  <c r="U16" i="4" s="1"/>
  <c r="AD16" i="4" s="1"/>
  <c r="K15" i="4"/>
  <c r="U15" i="4" s="1"/>
  <c r="AD15" i="4" s="1"/>
  <c r="K14" i="4"/>
  <c r="U14" i="4" s="1"/>
  <c r="AD14" i="4" s="1"/>
  <c r="K13" i="4"/>
  <c r="U13" i="4" s="1"/>
  <c r="AD13" i="4" s="1"/>
  <c r="K12" i="4"/>
  <c r="U12" i="4" s="1"/>
  <c r="AD12" i="4" s="1"/>
  <c r="K11" i="4"/>
  <c r="U11" i="4" s="1"/>
  <c r="AD11" i="4" s="1"/>
  <c r="K10" i="4"/>
  <c r="U10" i="4" s="1"/>
  <c r="AD10" i="4" s="1"/>
  <c r="K9" i="4"/>
  <c r="U9" i="4" s="1"/>
  <c r="AD9" i="4" s="1"/>
  <c r="K8" i="4"/>
  <c r="U8" i="4" s="1"/>
  <c r="AD8" i="4" s="1"/>
  <c r="K7" i="4"/>
  <c r="U7" i="4" s="1"/>
  <c r="AD7" i="4" s="1"/>
  <c r="K6" i="4"/>
  <c r="U6" i="4" s="1"/>
  <c r="AD6" i="4" s="1"/>
  <c r="K5" i="4"/>
  <c r="U5" i="4" s="1"/>
  <c r="AD5" i="4" s="1"/>
  <c r="K253" i="4" l="1"/>
  <c r="U253" i="4" s="1"/>
  <c r="AD253" i="4" s="1"/>
  <c r="L253" i="4"/>
  <c r="V253" i="4" s="1"/>
  <c r="AE253" i="4" s="1"/>
  <c r="M253" i="4"/>
  <c r="W253" i="4" s="1"/>
  <c r="AF253" i="4" s="1"/>
  <c r="N253" i="4"/>
  <c r="X253" i="4" s="1"/>
  <c r="AG253" i="4" s="1"/>
  <c r="O253" i="4"/>
  <c r="Y253" i="4" s="1"/>
  <c r="AH253" i="4" s="1"/>
  <c r="P253" i="4"/>
  <c r="Z253" i="4" s="1"/>
  <c r="Q253" i="4"/>
  <c r="AA253" i="4" s="1"/>
  <c r="L4" i="4"/>
  <c r="V4" i="4" s="1"/>
  <c r="AE4" i="4" s="1"/>
  <c r="M4" i="4"/>
  <c r="W4" i="4" s="1"/>
  <c r="AF4" i="4" s="1"/>
  <c r="N4" i="4"/>
  <c r="X4" i="4" s="1"/>
  <c r="AG4" i="4" s="1"/>
  <c r="O4" i="4"/>
  <c r="Y4" i="4" s="1"/>
  <c r="AH4" i="4" s="1"/>
  <c r="P4" i="4"/>
  <c r="Z4" i="4" s="1"/>
  <c r="Q4" i="4"/>
  <c r="AA4" i="4" s="1"/>
  <c r="L5" i="4"/>
  <c r="V5" i="4" s="1"/>
  <c r="AE5" i="4" s="1"/>
  <c r="M5" i="4"/>
  <c r="W5" i="4" s="1"/>
  <c r="AF5" i="4" s="1"/>
  <c r="N5" i="4"/>
  <c r="X5" i="4" s="1"/>
  <c r="AG5" i="4" s="1"/>
  <c r="O5" i="4"/>
  <c r="Y5" i="4" s="1"/>
  <c r="AH5" i="4" s="1"/>
  <c r="P5" i="4"/>
  <c r="Z5" i="4" s="1"/>
  <c r="Q5" i="4"/>
  <c r="AA5" i="4" s="1"/>
  <c r="L6" i="4"/>
  <c r="V6" i="4" s="1"/>
  <c r="AE6" i="4" s="1"/>
  <c r="M6" i="4"/>
  <c r="W6" i="4" s="1"/>
  <c r="AF6" i="4" s="1"/>
  <c r="N6" i="4"/>
  <c r="X6" i="4" s="1"/>
  <c r="AG6" i="4" s="1"/>
  <c r="O6" i="4"/>
  <c r="Y6" i="4" s="1"/>
  <c r="AH6" i="4" s="1"/>
  <c r="P6" i="4"/>
  <c r="Z6" i="4" s="1"/>
  <c r="Q6" i="4"/>
  <c r="AA6" i="4" s="1"/>
  <c r="L7" i="4"/>
  <c r="V7" i="4" s="1"/>
  <c r="AE7" i="4" s="1"/>
  <c r="M7" i="4"/>
  <c r="W7" i="4" s="1"/>
  <c r="AF7" i="4" s="1"/>
  <c r="N7" i="4"/>
  <c r="X7" i="4" s="1"/>
  <c r="AG7" i="4" s="1"/>
  <c r="O7" i="4"/>
  <c r="Y7" i="4" s="1"/>
  <c r="AH7" i="4" s="1"/>
  <c r="P7" i="4"/>
  <c r="Z7" i="4" s="1"/>
  <c r="Q7" i="4"/>
  <c r="AA7" i="4" s="1"/>
  <c r="L8" i="4"/>
  <c r="V8" i="4" s="1"/>
  <c r="AE8" i="4" s="1"/>
  <c r="M8" i="4"/>
  <c r="W8" i="4" s="1"/>
  <c r="AF8" i="4" s="1"/>
  <c r="N8" i="4"/>
  <c r="X8" i="4" s="1"/>
  <c r="AG8" i="4" s="1"/>
  <c r="O8" i="4"/>
  <c r="Y8" i="4" s="1"/>
  <c r="AH8" i="4" s="1"/>
  <c r="P8" i="4"/>
  <c r="Z8" i="4" s="1"/>
  <c r="Q8" i="4"/>
  <c r="AA8" i="4" s="1"/>
  <c r="L9" i="4"/>
  <c r="V9" i="4" s="1"/>
  <c r="AE9" i="4" s="1"/>
  <c r="M9" i="4"/>
  <c r="W9" i="4" s="1"/>
  <c r="AF9" i="4" s="1"/>
  <c r="N9" i="4"/>
  <c r="X9" i="4" s="1"/>
  <c r="AG9" i="4" s="1"/>
  <c r="O9" i="4"/>
  <c r="Y9" i="4" s="1"/>
  <c r="AH9" i="4" s="1"/>
  <c r="P9" i="4"/>
  <c r="Z9" i="4" s="1"/>
  <c r="Q9" i="4"/>
  <c r="AA9" i="4" s="1"/>
  <c r="L10" i="4"/>
  <c r="V10" i="4" s="1"/>
  <c r="AE10" i="4" s="1"/>
  <c r="M10" i="4"/>
  <c r="W10" i="4" s="1"/>
  <c r="AF10" i="4" s="1"/>
  <c r="N10" i="4"/>
  <c r="X10" i="4" s="1"/>
  <c r="AG10" i="4" s="1"/>
  <c r="O10" i="4"/>
  <c r="Y10" i="4" s="1"/>
  <c r="AH10" i="4" s="1"/>
  <c r="P10" i="4"/>
  <c r="Z10" i="4" s="1"/>
  <c r="Q10" i="4"/>
  <c r="AA10" i="4" s="1"/>
  <c r="L11" i="4"/>
  <c r="V11" i="4" s="1"/>
  <c r="AE11" i="4" s="1"/>
  <c r="M11" i="4"/>
  <c r="W11" i="4" s="1"/>
  <c r="AF11" i="4" s="1"/>
  <c r="N11" i="4"/>
  <c r="X11" i="4" s="1"/>
  <c r="AG11" i="4" s="1"/>
  <c r="O11" i="4"/>
  <c r="Y11" i="4" s="1"/>
  <c r="AH11" i="4" s="1"/>
  <c r="P11" i="4"/>
  <c r="Z11" i="4" s="1"/>
  <c r="Q11" i="4"/>
  <c r="AA11" i="4" s="1"/>
  <c r="L12" i="4"/>
  <c r="V12" i="4" s="1"/>
  <c r="AE12" i="4" s="1"/>
  <c r="M12" i="4"/>
  <c r="W12" i="4" s="1"/>
  <c r="AF12" i="4" s="1"/>
  <c r="N12" i="4"/>
  <c r="X12" i="4" s="1"/>
  <c r="AG12" i="4" s="1"/>
  <c r="O12" i="4"/>
  <c r="Y12" i="4" s="1"/>
  <c r="AH12" i="4" s="1"/>
  <c r="P12" i="4"/>
  <c r="Z12" i="4" s="1"/>
  <c r="Q12" i="4"/>
  <c r="AA12" i="4" s="1"/>
  <c r="L13" i="4"/>
  <c r="V13" i="4" s="1"/>
  <c r="AE13" i="4" s="1"/>
  <c r="M13" i="4"/>
  <c r="W13" i="4" s="1"/>
  <c r="AF13" i="4" s="1"/>
  <c r="N13" i="4"/>
  <c r="X13" i="4" s="1"/>
  <c r="AG13" i="4" s="1"/>
  <c r="O13" i="4"/>
  <c r="Y13" i="4" s="1"/>
  <c r="AH13" i="4" s="1"/>
  <c r="P13" i="4"/>
  <c r="Z13" i="4" s="1"/>
  <c r="Q13" i="4"/>
  <c r="AA13" i="4" s="1"/>
  <c r="L14" i="4"/>
  <c r="V14" i="4" s="1"/>
  <c r="AE14" i="4" s="1"/>
  <c r="M14" i="4"/>
  <c r="W14" i="4" s="1"/>
  <c r="AF14" i="4" s="1"/>
  <c r="N14" i="4"/>
  <c r="X14" i="4" s="1"/>
  <c r="AG14" i="4" s="1"/>
  <c r="O14" i="4"/>
  <c r="Y14" i="4" s="1"/>
  <c r="AH14" i="4" s="1"/>
  <c r="P14" i="4"/>
  <c r="Z14" i="4" s="1"/>
  <c r="Q14" i="4"/>
  <c r="AA14" i="4" s="1"/>
  <c r="L15" i="4"/>
  <c r="V15" i="4" s="1"/>
  <c r="AE15" i="4" s="1"/>
  <c r="M15" i="4"/>
  <c r="W15" i="4" s="1"/>
  <c r="AF15" i="4" s="1"/>
  <c r="N15" i="4"/>
  <c r="X15" i="4" s="1"/>
  <c r="AG15" i="4" s="1"/>
  <c r="O15" i="4"/>
  <c r="Y15" i="4" s="1"/>
  <c r="AH15" i="4" s="1"/>
  <c r="P15" i="4"/>
  <c r="Z15" i="4" s="1"/>
  <c r="Q15" i="4"/>
  <c r="AA15" i="4" s="1"/>
  <c r="L16" i="4"/>
  <c r="V16" i="4" s="1"/>
  <c r="AE16" i="4" s="1"/>
  <c r="M16" i="4"/>
  <c r="W16" i="4" s="1"/>
  <c r="AF16" i="4" s="1"/>
  <c r="N16" i="4"/>
  <c r="X16" i="4" s="1"/>
  <c r="AG16" i="4" s="1"/>
  <c r="O16" i="4"/>
  <c r="Y16" i="4" s="1"/>
  <c r="AH16" i="4" s="1"/>
  <c r="P16" i="4"/>
  <c r="Z16" i="4" s="1"/>
  <c r="Q16" i="4"/>
  <c r="AA16" i="4" s="1"/>
  <c r="L17" i="4"/>
  <c r="V17" i="4" s="1"/>
  <c r="AE17" i="4" s="1"/>
  <c r="M17" i="4"/>
  <c r="W17" i="4" s="1"/>
  <c r="AF17" i="4" s="1"/>
  <c r="N17" i="4"/>
  <c r="X17" i="4" s="1"/>
  <c r="AG17" i="4" s="1"/>
  <c r="O17" i="4"/>
  <c r="Y17" i="4" s="1"/>
  <c r="AH17" i="4" s="1"/>
  <c r="P17" i="4"/>
  <c r="Z17" i="4" s="1"/>
  <c r="Q17" i="4"/>
  <c r="AA17" i="4" s="1"/>
  <c r="K18" i="4"/>
  <c r="U18" i="4" s="1"/>
  <c r="AD18" i="4" s="1"/>
  <c r="L18" i="4"/>
  <c r="V18" i="4" s="1"/>
  <c r="AE18" i="4" s="1"/>
  <c r="M18" i="4"/>
  <c r="W18" i="4" s="1"/>
  <c r="AF18" i="4" s="1"/>
  <c r="N18" i="4"/>
  <c r="X18" i="4" s="1"/>
  <c r="AG18" i="4" s="1"/>
  <c r="O18" i="4"/>
  <c r="Y18" i="4" s="1"/>
  <c r="AH18" i="4" s="1"/>
  <c r="P18" i="4"/>
  <c r="Z18" i="4" s="1"/>
  <c r="Q18" i="4"/>
  <c r="AA18" i="4" s="1"/>
  <c r="K19" i="4"/>
  <c r="U19" i="4" s="1"/>
  <c r="AD19" i="4" s="1"/>
  <c r="L19" i="4"/>
  <c r="V19" i="4" s="1"/>
  <c r="AE19" i="4" s="1"/>
  <c r="M19" i="4"/>
  <c r="W19" i="4" s="1"/>
  <c r="AF19" i="4" s="1"/>
  <c r="N19" i="4"/>
  <c r="X19" i="4" s="1"/>
  <c r="AG19" i="4" s="1"/>
  <c r="O19" i="4"/>
  <c r="Y19" i="4" s="1"/>
  <c r="AH19" i="4" s="1"/>
  <c r="P19" i="4"/>
  <c r="Z19" i="4" s="1"/>
  <c r="Q19" i="4"/>
  <c r="AA19" i="4" s="1"/>
  <c r="K20" i="4"/>
  <c r="U20" i="4" s="1"/>
  <c r="AD20" i="4" s="1"/>
  <c r="L20" i="4"/>
  <c r="V20" i="4" s="1"/>
  <c r="AE20" i="4" s="1"/>
  <c r="M20" i="4"/>
  <c r="W20" i="4" s="1"/>
  <c r="AF20" i="4" s="1"/>
  <c r="N20" i="4"/>
  <c r="X20" i="4" s="1"/>
  <c r="AG20" i="4" s="1"/>
  <c r="O20" i="4"/>
  <c r="Y20" i="4" s="1"/>
  <c r="AH20" i="4" s="1"/>
  <c r="P20" i="4"/>
  <c r="Z20" i="4" s="1"/>
  <c r="Q20" i="4"/>
  <c r="AA20" i="4" s="1"/>
  <c r="K21" i="4"/>
  <c r="U21" i="4" s="1"/>
  <c r="AD21" i="4" s="1"/>
  <c r="L21" i="4"/>
  <c r="V21" i="4" s="1"/>
  <c r="AE21" i="4" s="1"/>
  <c r="M21" i="4"/>
  <c r="W21" i="4" s="1"/>
  <c r="AF21" i="4" s="1"/>
  <c r="N21" i="4"/>
  <c r="X21" i="4" s="1"/>
  <c r="AG21" i="4" s="1"/>
  <c r="O21" i="4"/>
  <c r="Y21" i="4" s="1"/>
  <c r="AH21" i="4" s="1"/>
  <c r="P21" i="4"/>
  <c r="Z21" i="4" s="1"/>
  <c r="Q21" i="4"/>
  <c r="AA21" i="4" s="1"/>
  <c r="K22" i="4"/>
  <c r="U22" i="4" s="1"/>
  <c r="AD22" i="4" s="1"/>
  <c r="L22" i="4"/>
  <c r="V22" i="4" s="1"/>
  <c r="AE22" i="4" s="1"/>
  <c r="M22" i="4"/>
  <c r="W22" i="4" s="1"/>
  <c r="AF22" i="4" s="1"/>
  <c r="N22" i="4"/>
  <c r="X22" i="4" s="1"/>
  <c r="AG22" i="4" s="1"/>
  <c r="O22" i="4"/>
  <c r="Y22" i="4" s="1"/>
  <c r="AH22" i="4" s="1"/>
  <c r="P22" i="4"/>
  <c r="Z22" i="4" s="1"/>
  <c r="Q22" i="4"/>
  <c r="AA22" i="4" s="1"/>
  <c r="K23" i="4"/>
  <c r="U23" i="4" s="1"/>
  <c r="AD23" i="4" s="1"/>
  <c r="L23" i="4"/>
  <c r="V23" i="4" s="1"/>
  <c r="AE23" i="4" s="1"/>
  <c r="M23" i="4"/>
  <c r="W23" i="4" s="1"/>
  <c r="AF23" i="4" s="1"/>
  <c r="N23" i="4"/>
  <c r="X23" i="4" s="1"/>
  <c r="AG23" i="4" s="1"/>
  <c r="O23" i="4"/>
  <c r="Y23" i="4" s="1"/>
  <c r="AH23" i="4" s="1"/>
  <c r="P23" i="4"/>
  <c r="Z23" i="4" s="1"/>
  <c r="Q23" i="4"/>
  <c r="AA23" i="4" s="1"/>
  <c r="K24" i="4"/>
  <c r="U24" i="4" s="1"/>
  <c r="AD24" i="4" s="1"/>
  <c r="L24" i="4"/>
  <c r="V24" i="4" s="1"/>
  <c r="AE24" i="4" s="1"/>
  <c r="M24" i="4"/>
  <c r="W24" i="4" s="1"/>
  <c r="AF24" i="4" s="1"/>
  <c r="N24" i="4"/>
  <c r="X24" i="4" s="1"/>
  <c r="AG24" i="4" s="1"/>
  <c r="O24" i="4"/>
  <c r="Y24" i="4" s="1"/>
  <c r="AH24" i="4" s="1"/>
  <c r="P24" i="4"/>
  <c r="Z24" i="4" s="1"/>
  <c r="Q24" i="4"/>
  <c r="AA24" i="4" s="1"/>
  <c r="K25" i="4"/>
  <c r="U25" i="4" s="1"/>
  <c r="AD25" i="4" s="1"/>
  <c r="L25" i="4"/>
  <c r="V25" i="4" s="1"/>
  <c r="AE25" i="4" s="1"/>
  <c r="M25" i="4"/>
  <c r="W25" i="4" s="1"/>
  <c r="AF25" i="4" s="1"/>
  <c r="N25" i="4"/>
  <c r="X25" i="4" s="1"/>
  <c r="AG25" i="4" s="1"/>
  <c r="O25" i="4"/>
  <c r="Y25" i="4" s="1"/>
  <c r="AH25" i="4" s="1"/>
  <c r="P25" i="4"/>
  <c r="Z25" i="4" s="1"/>
  <c r="Q25" i="4"/>
  <c r="AA25" i="4" s="1"/>
  <c r="K26" i="4"/>
  <c r="U26" i="4" s="1"/>
  <c r="AD26" i="4" s="1"/>
  <c r="L26" i="4"/>
  <c r="V26" i="4" s="1"/>
  <c r="AE26" i="4" s="1"/>
  <c r="M26" i="4"/>
  <c r="W26" i="4" s="1"/>
  <c r="AF26" i="4" s="1"/>
  <c r="N26" i="4"/>
  <c r="X26" i="4" s="1"/>
  <c r="AG26" i="4" s="1"/>
  <c r="O26" i="4"/>
  <c r="Y26" i="4" s="1"/>
  <c r="AH26" i="4" s="1"/>
  <c r="P26" i="4"/>
  <c r="Z26" i="4" s="1"/>
  <c r="Q26" i="4"/>
  <c r="AA26" i="4" s="1"/>
  <c r="K27" i="4"/>
  <c r="U27" i="4" s="1"/>
  <c r="AD27" i="4" s="1"/>
  <c r="L27" i="4"/>
  <c r="V27" i="4" s="1"/>
  <c r="AE27" i="4" s="1"/>
  <c r="M27" i="4"/>
  <c r="W27" i="4" s="1"/>
  <c r="AF27" i="4" s="1"/>
  <c r="N27" i="4"/>
  <c r="X27" i="4" s="1"/>
  <c r="AG27" i="4" s="1"/>
  <c r="O27" i="4"/>
  <c r="Y27" i="4" s="1"/>
  <c r="AH27" i="4" s="1"/>
  <c r="P27" i="4"/>
  <c r="Z27" i="4" s="1"/>
  <c r="Q27" i="4"/>
  <c r="AA27" i="4" s="1"/>
  <c r="K28" i="4"/>
  <c r="U28" i="4" s="1"/>
  <c r="AD28" i="4" s="1"/>
  <c r="L28" i="4"/>
  <c r="V28" i="4" s="1"/>
  <c r="AE28" i="4" s="1"/>
  <c r="M28" i="4"/>
  <c r="W28" i="4" s="1"/>
  <c r="AF28" i="4" s="1"/>
  <c r="N28" i="4"/>
  <c r="X28" i="4" s="1"/>
  <c r="AG28" i="4" s="1"/>
  <c r="O28" i="4"/>
  <c r="Y28" i="4" s="1"/>
  <c r="AH28" i="4" s="1"/>
  <c r="P28" i="4"/>
  <c r="Z28" i="4" s="1"/>
  <c r="Q28" i="4"/>
  <c r="AA28" i="4" s="1"/>
  <c r="K29" i="4"/>
  <c r="U29" i="4" s="1"/>
  <c r="AD29" i="4" s="1"/>
  <c r="L29" i="4"/>
  <c r="V29" i="4" s="1"/>
  <c r="AE29" i="4" s="1"/>
  <c r="M29" i="4"/>
  <c r="W29" i="4" s="1"/>
  <c r="AF29" i="4" s="1"/>
  <c r="N29" i="4"/>
  <c r="X29" i="4" s="1"/>
  <c r="AG29" i="4" s="1"/>
  <c r="O29" i="4"/>
  <c r="Y29" i="4" s="1"/>
  <c r="AH29" i="4" s="1"/>
  <c r="P29" i="4"/>
  <c r="Z29" i="4" s="1"/>
  <c r="Q29" i="4"/>
  <c r="AA29" i="4" s="1"/>
  <c r="K30" i="4"/>
  <c r="U30" i="4" s="1"/>
  <c r="AD30" i="4" s="1"/>
  <c r="L30" i="4"/>
  <c r="V30" i="4" s="1"/>
  <c r="AE30" i="4" s="1"/>
  <c r="M30" i="4"/>
  <c r="W30" i="4" s="1"/>
  <c r="AF30" i="4" s="1"/>
  <c r="N30" i="4"/>
  <c r="X30" i="4" s="1"/>
  <c r="AG30" i="4" s="1"/>
  <c r="O30" i="4"/>
  <c r="Y30" i="4" s="1"/>
  <c r="AH30" i="4" s="1"/>
  <c r="P30" i="4"/>
  <c r="Z30" i="4" s="1"/>
  <c r="Q30" i="4"/>
  <c r="AA30" i="4" s="1"/>
  <c r="K31" i="4"/>
  <c r="U31" i="4" s="1"/>
  <c r="AD31" i="4" s="1"/>
  <c r="L31" i="4"/>
  <c r="V31" i="4" s="1"/>
  <c r="AE31" i="4" s="1"/>
  <c r="M31" i="4"/>
  <c r="W31" i="4" s="1"/>
  <c r="AF31" i="4" s="1"/>
  <c r="N31" i="4"/>
  <c r="X31" i="4" s="1"/>
  <c r="AG31" i="4" s="1"/>
  <c r="O31" i="4"/>
  <c r="Y31" i="4" s="1"/>
  <c r="AH31" i="4" s="1"/>
  <c r="P31" i="4"/>
  <c r="Z31" i="4" s="1"/>
  <c r="Q31" i="4"/>
  <c r="AA31" i="4" s="1"/>
  <c r="K32" i="4"/>
  <c r="U32" i="4" s="1"/>
  <c r="AD32" i="4" s="1"/>
  <c r="L32" i="4"/>
  <c r="V32" i="4" s="1"/>
  <c r="AE32" i="4" s="1"/>
  <c r="M32" i="4"/>
  <c r="W32" i="4" s="1"/>
  <c r="AF32" i="4" s="1"/>
  <c r="N32" i="4"/>
  <c r="X32" i="4" s="1"/>
  <c r="AG32" i="4" s="1"/>
  <c r="O32" i="4"/>
  <c r="Y32" i="4" s="1"/>
  <c r="AH32" i="4" s="1"/>
  <c r="P32" i="4"/>
  <c r="Z32" i="4" s="1"/>
  <c r="Q32" i="4"/>
  <c r="AA32" i="4" s="1"/>
  <c r="K33" i="4"/>
  <c r="U33" i="4" s="1"/>
  <c r="AD33" i="4" s="1"/>
  <c r="L33" i="4"/>
  <c r="V33" i="4" s="1"/>
  <c r="AE33" i="4" s="1"/>
  <c r="M33" i="4"/>
  <c r="W33" i="4" s="1"/>
  <c r="AF33" i="4" s="1"/>
  <c r="N33" i="4"/>
  <c r="X33" i="4" s="1"/>
  <c r="AG33" i="4" s="1"/>
  <c r="O33" i="4"/>
  <c r="Y33" i="4" s="1"/>
  <c r="AH33" i="4" s="1"/>
  <c r="P33" i="4"/>
  <c r="Z33" i="4" s="1"/>
  <c r="Q33" i="4"/>
  <c r="AA33" i="4" s="1"/>
  <c r="K34" i="4"/>
  <c r="U34" i="4" s="1"/>
  <c r="AD34" i="4" s="1"/>
  <c r="L34" i="4"/>
  <c r="V34" i="4" s="1"/>
  <c r="AE34" i="4" s="1"/>
  <c r="M34" i="4"/>
  <c r="W34" i="4" s="1"/>
  <c r="AF34" i="4" s="1"/>
  <c r="N34" i="4"/>
  <c r="X34" i="4" s="1"/>
  <c r="AG34" i="4" s="1"/>
  <c r="O34" i="4"/>
  <c r="Y34" i="4" s="1"/>
  <c r="AH34" i="4" s="1"/>
  <c r="P34" i="4"/>
  <c r="Z34" i="4" s="1"/>
  <c r="Q34" i="4"/>
  <c r="AA34" i="4" s="1"/>
  <c r="K35" i="4"/>
  <c r="U35" i="4" s="1"/>
  <c r="AD35" i="4" s="1"/>
  <c r="L35" i="4"/>
  <c r="V35" i="4" s="1"/>
  <c r="AE35" i="4" s="1"/>
  <c r="M35" i="4"/>
  <c r="W35" i="4" s="1"/>
  <c r="AF35" i="4" s="1"/>
  <c r="N35" i="4"/>
  <c r="X35" i="4" s="1"/>
  <c r="AG35" i="4" s="1"/>
  <c r="O35" i="4"/>
  <c r="Y35" i="4" s="1"/>
  <c r="AH35" i="4" s="1"/>
  <c r="P35" i="4"/>
  <c r="Z35" i="4" s="1"/>
  <c r="Q35" i="4"/>
  <c r="AA35" i="4" s="1"/>
  <c r="K36" i="4"/>
  <c r="U36" i="4" s="1"/>
  <c r="AD36" i="4" s="1"/>
  <c r="L36" i="4"/>
  <c r="V36" i="4" s="1"/>
  <c r="AE36" i="4" s="1"/>
  <c r="M36" i="4"/>
  <c r="W36" i="4" s="1"/>
  <c r="AF36" i="4" s="1"/>
  <c r="N36" i="4"/>
  <c r="X36" i="4" s="1"/>
  <c r="AG36" i="4" s="1"/>
  <c r="O36" i="4"/>
  <c r="Y36" i="4" s="1"/>
  <c r="AH36" i="4" s="1"/>
  <c r="P36" i="4"/>
  <c r="Z36" i="4" s="1"/>
  <c r="Q36" i="4"/>
  <c r="AA36" i="4" s="1"/>
  <c r="K37" i="4"/>
  <c r="U37" i="4" s="1"/>
  <c r="AD37" i="4" s="1"/>
  <c r="L37" i="4"/>
  <c r="V37" i="4" s="1"/>
  <c r="AE37" i="4" s="1"/>
  <c r="M37" i="4"/>
  <c r="W37" i="4" s="1"/>
  <c r="AF37" i="4" s="1"/>
  <c r="N37" i="4"/>
  <c r="X37" i="4" s="1"/>
  <c r="AG37" i="4" s="1"/>
  <c r="O37" i="4"/>
  <c r="Y37" i="4" s="1"/>
  <c r="AH37" i="4" s="1"/>
  <c r="P37" i="4"/>
  <c r="Z37" i="4" s="1"/>
  <c r="Q37" i="4"/>
  <c r="AA37" i="4" s="1"/>
  <c r="K38" i="4"/>
  <c r="U38" i="4" s="1"/>
  <c r="AD38" i="4" s="1"/>
  <c r="L38" i="4"/>
  <c r="V38" i="4" s="1"/>
  <c r="AE38" i="4" s="1"/>
  <c r="M38" i="4"/>
  <c r="W38" i="4" s="1"/>
  <c r="AF38" i="4" s="1"/>
  <c r="N38" i="4"/>
  <c r="X38" i="4" s="1"/>
  <c r="AG38" i="4" s="1"/>
  <c r="O38" i="4"/>
  <c r="Y38" i="4" s="1"/>
  <c r="AH38" i="4" s="1"/>
  <c r="P38" i="4"/>
  <c r="Z38" i="4" s="1"/>
  <c r="Q38" i="4"/>
  <c r="AA38" i="4" s="1"/>
  <c r="K39" i="4"/>
  <c r="U39" i="4" s="1"/>
  <c r="AD39" i="4" s="1"/>
  <c r="L39" i="4"/>
  <c r="V39" i="4" s="1"/>
  <c r="AE39" i="4" s="1"/>
  <c r="M39" i="4"/>
  <c r="W39" i="4" s="1"/>
  <c r="AF39" i="4" s="1"/>
  <c r="N39" i="4"/>
  <c r="X39" i="4" s="1"/>
  <c r="AG39" i="4" s="1"/>
  <c r="O39" i="4"/>
  <c r="Y39" i="4" s="1"/>
  <c r="AH39" i="4" s="1"/>
  <c r="P39" i="4"/>
  <c r="Z39" i="4" s="1"/>
  <c r="Q39" i="4"/>
  <c r="AA39" i="4" s="1"/>
  <c r="K40" i="4"/>
  <c r="U40" i="4" s="1"/>
  <c r="AD40" i="4" s="1"/>
  <c r="L40" i="4"/>
  <c r="V40" i="4" s="1"/>
  <c r="AE40" i="4" s="1"/>
  <c r="M40" i="4"/>
  <c r="W40" i="4" s="1"/>
  <c r="AF40" i="4" s="1"/>
  <c r="N40" i="4"/>
  <c r="X40" i="4" s="1"/>
  <c r="AG40" i="4" s="1"/>
  <c r="O40" i="4"/>
  <c r="Y40" i="4" s="1"/>
  <c r="AH40" i="4" s="1"/>
  <c r="P40" i="4"/>
  <c r="Z40" i="4" s="1"/>
  <c r="Q40" i="4"/>
  <c r="AA40" i="4" s="1"/>
  <c r="K41" i="4"/>
  <c r="U41" i="4" s="1"/>
  <c r="AD41" i="4" s="1"/>
  <c r="L41" i="4"/>
  <c r="V41" i="4" s="1"/>
  <c r="AE41" i="4" s="1"/>
  <c r="M41" i="4"/>
  <c r="W41" i="4" s="1"/>
  <c r="AF41" i="4" s="1"/>
  <c r="N41" i="4"/>
  <c r="X41" i="4" s="1"/>
  <c r="AG41" i="4" s="1"/>
  <c r="O41" i="4"/>
  <c r="Y41" i="4" s="1"/>
  <c r="AH41" i="4" s="1"/>
  <c r="P41" i="4"/>
  <c r="Z41" i="4" s="1"/>
  <c r="Q41" i="4"/>
  <c r="AA41" i="4" s="1"/>
  <c r="K42" i="4"/>
  <c r="U42" i="4" s="1"/>
  <c r="AD42" i="4" s="1"/>
  <c r="L42" i="4"/>
  <c r="V42" i="4" s="1"/>
  <c r="AE42" i="4" s="1"/>
  <c r="M42" i="4"/>
  <c r="W42" i="4" s="1"/>
  <c r="AF42" i="4" s="1"/>
  <c r="N42" i="4"/>
  <c r="X42" i="4" s="1"/>
  <c r="AG42" i="4" s="1"/>
  <c r="O42" i="4"/>
  <c r="Y42" i="4" s="1"/>
  <c r="AH42" i="4" s="1"/>
  <c r="P42" i="4"/>
  <c r="Z42" i="4" s="1"/>
  <c r="Q42" i="4"/>
  <c r="AA42" i="4" s="1"/>
  <c r="K43" i="4"/>
  <c r="U43" i="4" s="1"/>
  <c r="AD43" i="4" s="1"/>
  <c r="L43" i="4"/>
  <c r="V43" i="4" s="1"/>
  <c r="AE43" i="4" s="1"/>
  <c r="M43" i="4"/>
  <c r="W43" i="4" s="1"/>
  <c r="AF43" i="4" s="1"/>
  <c r="N43" i="4"/>
  <c r="X43" i="4" s="1"/>
  <c r="AG43" i="4" s="1"/>
  <c r="O43" i="4"/>
  <c r="Y43" i="4" s="1"/>
  <c r="AH43" i="4" s="1"/>
  <c r="P43" i="4"/>
  <c r="Z43" i="4" s="1"/>
  <c r="Q43" i="4"/>
  <c r="AA43" i="4" s="1"/>
  <c r="K44" i="4"/>
  <c r="U44" i="4" s="1"/>
  <c r="AD44" i="4" s="1"/>
  <c r="L44" i="4"/>
  <c r="V44" i="4" s="1"/>
  <c r="AE44" i="4" s="1"/>
  <c r="M44" i="4"/>
  <c r="W44" i="4" s="1"/>
  <c r="AF44" i="4" s="1"/>
  <c r="N44" i="4"/>
  <c r="X44" i="4" s="1"/>
  <c r="AG44" i="4" s="1"/>
  <c r="O44" i="4"/>
  <c r="Y44" i="4" s="1"/>
  <c r="AH44" i="4" s="1"/>
  <c r="P44" i="4"/>
  <c r="Z44" i="4" s="1"/>
  <c r="Q44" i="4"/>
  <c r="AA44" i="4" s="1"/>
  <c r="K45" i="4"/>
  <c r="U45" i="4" s="1"/>
  <c r="AD45" i="4" s="1"/>
  <c r="L45" i="4"/>
  <c r="V45" i="4" s="1"/>
  <c r="AE45" i="4" s="1"/>
  <c r="M45" i="4"/>
  <c r="W45" i="4" s="1"/>
  <c r="AF45" i="4" s="1"/>
  <c r="N45" i="4"/>
  <c r="X45" i="4" s="1"/>
  <c r="AG45" i="4" s="1"/>
  <c r="O45" i="4"/>
  <c r="Y45" i="4" s="1"/>
  <c r="AH45" i="4" s="1"/>
  <c r="P45" i="4"/>
  <c r="Z45" i="4" s="1"/>
  <c r="Q45" i="4"/>
  <c r="AA45" i="4" s="1"/>
  <c r="K46" i="4"/>
  <c r="U46" i="4" s="1"/>
  <c r="AD46" i="4" s="1"/>
  <c r="L46" i="4"/>
  <c r="V46" i="4" s="1"/>
  <c r="AE46" i="4" s="1"/>
  <c r="M46" i="4"/>
  <c r="W46" i="4" s="1"/>
  <c r="AF46" i="4" s="1"/>
  <c r="N46" i="4"/>
  <c r="X46" i="4" s="1"/>
  <c r="AG46" i="4" s="1"/>
  <c r="O46" i="4"/>
  <c r="Y46" i="4" s="1"/>
  <c r="AH46" i="4" s="1"/>
  <c r="P46" i="4"/>
  <c r="Z46" i="4" s="1"/>
  <c r="Q46" i="4"/>
  <c r="AA46" i="4" s="1"/>
  <c r="K47" i="4"/>
  <c r="U47" i="4" s="1"/>
  <c r="AD47" i="4" s="1"/>
  <c r="L47" i="4"/>
  <c r="V47" i="4" s="1"/>
  <c r="AE47" i="4" s="1"/>
  <c r="M47" i="4"/>
  <c r="W47" i="4" s="1"/>
  <c r="AF47" i="4" s="1"/>
  <c r="N47" i="4"/>
  <c r="X47" i="4" s="1"/>
  <c r="AG47" i="4" s="1"/>
  <c r="O47" i="4"/>
  <c r="Y47" i="4" s="1"/>
  <c r="AH47" i="4" s="1"/>
  <c r="P47" i="4"/>
  <c r="Z47" i="4" s="1"/>
  <c r="Q47" i="4"/>
  <c r="AA47" i="4" s="1"/>
  <c r="K48" i="4"/>
  <c r="U48" i="4" s="1"/>
  <c r="AD48" i="4" s="1"/>
  <c r="L48" i="4"/>
  <c r="V48" i="4" s="1"/>
  <c r="AE48" i="4" s="1"/>
  <c r="M48" i="4"/>
  <c r="W48" i="4" s="1"/>
  <c r="AF48" i="4" s="1"/>
  <c r="N48" i="4"/>
  <c r="X48" i="4" s="1"/>
  <c r="AG48" i="4" s="1"/>
  <c r="O48" i="4"/>
  <c r="Y48" i="4" s="1"/>
  <c r="AH48" i="4" s="1"/>
  <c r="P48" i="4"/>
  <c r="Z48" i="4" s="1"/>
  <c r="Q48" i="4"/>
  <c r="AA48" i="4" s="1"/>
  <c r="K49" i="4"/>
  <c r="U49" i="4" s="1"/>
  <c r="AD49" i="4" s="1"/>
  <c r="L49" i="4"/>
  <c r="V49" i="4" s="1"/>
  <c r="AE49" i="4" s="1"/>
  <c r="M49" i="4"/>
  <c r="W49" i="4" s="1"/>
  <c r="AF49" i="4" s="1"/>
  <c r="N49" i="4"/>
  <c r="X49" i="4" s="1"/>
  <c r="AG49" i="4" s="1"/>
  <c r="O49" i="4"/>
  <c r="Y49" i="4" s="1"/>
  <c r="AH49" i="4" s="1"/>
  <c r="P49" i="4"/>
  <c r="Z49" i="4" s="1"/>
  <c r="Q49" i="4"/>
  <c r="AA49" i="4" s="1"/>
  <c r="K50" i="4"/>
  <c r="U50" i="4" s="1"/>
  <c r="AD50" i="4" s="1"/>
  <c r="L50" i="4"/>
  <c r="V50" i="4" s="1"/>
  <c r="AE50" i="4" s="1"/>
  <c r="M50" i="4"/>
  <c r="W50" i="4" s="1"/>
  <c r="AF50" i="4" s="1"/>
  <c r="N50" i="4"/>
  <c r="X50" i="4" s="1"/>
  <c r="AG50" i="4" s="1"/>
  <c r="O50" i="4"/>
  <c r="Y50" i="4" s="1"/>
  <c r="AH50" i="4" s="1"/>
  <c r="P50" i="4"/>
  <c r="Z50" i="4" s="1"/>
  <c r="Q50" i="4"/>
  <c r="AA50" i="4" s="1"/>
  <c r="K51" i="4"/>
  <c r="U51" i="4" s="1"/>
  <c r="AD51" i="4" s="1"/>
  <c r="L51" i="4"/>
  <c r="V51" i="4" s="1"/>
  <c r="AE51" i="4" s="1"/>
  <c r="M51" i="4"/>
  <c r="W51" i="4" s="1"/>
  <c r="AF51" i="4" s="1"/>
  <c r="N51" i="4"/>
  <c r="X51" i="4" s="1"/>
  <c r="AG51" i="4" s="1"/>
  <c r="O51" i="4"/>
  <c r="Y51" i="4" s="1"/>
  <c r="AH51" i="4" s="1"/>
  <c r="P51" i="4"/>
  <c r="Z51" i="4" s="1"/>
  <c r="Q51" i="4"/>
  <c r="AA51" i="4" s="1"/>
  <c r="K52" i="4"/>
  <c r="U52" i="4" s="1"/>
  <c r="AD52" i="4" s="1"/>
  <c r="L52" i="4"/>
  <c r="V52" i="4" s="1"/>
  <c r="AE52" i="4" s="1"/>
  <c r="M52" i="4"/>
  <c r="W52" i="4" s="1"/>
  <c r="AF52" i="4" s="1"/>
  <c r="N52" i="4"/>
  <c r="X52" i="4" s="1"/>
  <c r="AG52" i="4" s="1"/>
  <c r="O52" i="4"/>
  <c r="Y52" i="4" s="1"/>
  <c r="AH52" i="4" s="1"/>
  <c r="P52" i="4"/>
  <c r="Z52" i="4" s="1"/>
  <c r="Q52" i="4"/>
  <c r="AA52" i="4" s="1"/>
  <c r="K53" i="4"/>
  <c r="U53" i="4" s="1"/>
  <c r="AD53" i="4" s="1"/>
  <c r="L53" i="4"/>
  <c r="V53" i="4" s="1"/>
  <c r="AE53" i="4" s="1"/>
  <c r="M53" i="4"/>
  <c r="W53" i="4" s="1"/>
  <c r="AF53" i="4" s="1"/>
  <c r="N53" i="4"/>
  <c r="X53" i="4" s="1"/>
  <c r="AG53" i="4" s="1"/>
  <c r="O53" i="4"/>
  <c r="Y53" i="4" s="1"/>
  <c r="AH53" i="4" s="1"/>
  <c r="P53" i="4"/>
  <c r="Z53" i="4" s="1"/>
  <c r="Q53" i="4"/>
  <c r="AA53" i="4" s="1"/>
  <c r="K54" i="4"/>
  <c r="U54" i="4" s="1"/>
  <c r="AD54" i="4" s="1"/>
  <c r="L54" i="4"/>
  <c r="V54" i="4" s="1"/>
  <c r="AE54" i="4" s="1"/>
  <c r="M54" i="4"/>
  <c r="W54" i="4" s="1"/>
  <c r="AF54" i="4" s="1"/>
  <c r="N54" i="4"/>
  <c r="X54" i="4" s="1"/>
  <c r="AG54" i="4" s="1"/>
  <c r="O54" i="4"/>
  <c r="Y54" i="4" s="1"/>
  <c r="AH54" i="4" s="1"/>
  <c r="P54" i="4"/>
  <c r="Z54" i="4" s="1"/>
  <c r="Q54" i="4"/>
  <c r="AA54" i="4" s="1"/>
  <c r="K55" i="4"/>
  <c r="U55" i="4" s="1"/>
  <c r="AD55" i="4" s="1"/>
  <c r="L55" i="4"/>
  <c r="V55" i="4" s="1"/>
  <c r="AE55" i="4" s="1"/>
  <c r="M55" i="4"/>
  <c r="W55" i="4" s="1"/>
  <c r="AF55" i="4" s="1"/>
  <c r="N55" i="4"/>
  <c r="X55" i="4" s="1"/>
  <c r="AG55" i="4" s="1"/>
  <c r="O55" i="4"/>
  <c r="Y55" i="4" s="1"/>
  <c r="AH55" i="4" s="1"/>
  <c r="P55" i="4"/>
  <c r="Z55" i="4" s="1"/>
  <c r="Q55" i="4"/>
  <c r="AA55" i="4" s="1"/>
  <c r="K56" i="4"/>
  <c r="U56" i="4" s="1"/>
  <c r="AD56" i="4" s="1"/>
  <c r="L56" i="4"/>
  <c r="V56" i="4" s="1"/>
  <c r="AE56" i="4" s="1"/>
  <c r="M56" i="4"/>
  <c r="W56" i="4" s="1"/>
  <c r="AF56" i="4" s="1"/>
  <c r="N56" i="4"/>
  <c r="X56" i="4" s="1"/>
  <c r="AG56" i="4" s="1"/>
  <c r="O56" i="4"/>
  <c r="Y56" i="4" s="1"/>
  <c r="AH56" i="4" s="1"/>
  <c r="P56" i="4"/>
  <c r="Z56" i="4" s="1"/>
  <c r="Q56" i="4"/>
  <c r="AA56" i="4" s="1"/>
  <c r="K57" i="4"/>
  <c r="U57" i="4" s="1"/>
  <c r="AD57" i="4" s="1"/>
  <c r="L57" i="4"/>
  <c r="V57" i="4" s="1"/>
  <c r="AE57" i="4" s="1"/>
  <c r="M57" i="4"/>
  <c r="W57" i="4" s="1"/>
  <c r="AF57" i="4" s="1"/>
  <c r="N57" i="4"/>
  <c r="X57" i="4" s="1"/>
  <c r="AG57" i="4" s="1"/>
  <c r="O57" i="4"/>
  <c r="Y57" i="4" s="1"/>
  <c r="AH57" i="4" s="1"/>
  <c r="P57" i="4"/>
  <c r="Z57" i="4" s="1"/>
  <c r="Q57" i="4"/>
  <c r="AA57" i="4" s="1"/>
  <c r="K58" i="4"/>
  <c r="U58" i="4" s="1"/>
  <c r="AD58" i="4" s="1"/>
  <c r="L58" i="4"/>
  <c r="V58" i="4" s="1"/>
  <c r="AE58" i="4" s="1"/>
  <c r="M58" i="4"/>
  <c r="W58" i="4" s="1"/>
  <c r="AF58" i="4" s="1"/>
  <c r="N58" i="4"/>
  <c r="X58" i="4" s="1"/>
  <c r="AG58" i="4" s="1"/>
  <c r="O58" i="4"/>
  <c r="Y58" i="4" s="1"/>
  <c r="AH58" i="4" s="1"/>
  <c r="P58" i="4"/>
  <c r="Z58" i="4" s="1"/>
  <c r="Q58" i="4"/>
  <c r="AA58" i="4" s="1"/>
  <c r="K59" i="4"/>
  <c r="U59" i="4" s="1"/>
  <c r="AD59" i="4" s="1"/>
  <c r="L59" i="4"/>
  <c r="V59" i="4" s="1"/>
  <c r="AE59" i="4" s="1"/>
  <c r="M59" i="4"/>
  <c r="W59" i="4" s="1"/>
  <c r="AF59" i="4" s="1"/>
  <c r="N59" i="4"/>
  <c r="X59" i="4" s="1"/>
  <c r="AG59" i="4" s="1"/>
  <c r="O59" i="4"/>
  <c r="Y59" i="4" s="1"/>
  <c r="AH59" i="4" s="1"/>
  <c r="P59" i="4"/>
  <c r="Z59" i="4" s="1"/>
  <c r="Q59" i="4"/>
  <c r="AA59" i="4" s="1"/>
  <c r="K60" i="4"/>
  <c r="U60" i="4" s="1"/>
  <c r="AD60" i="4" s="1"/>
  <c r="L60" i="4"/>
  <c r="V60" i="4" s="1"/>
  <c r="AE60" i="4" s="1"/>
  <c r="M60" i="4"/>
  <c r="W60" i="4" s="1"/>
  <c r="AF60" i="4" s="1"/>
  <c r="N60" i="4"/>
  <c r="X60" i="4" s="1"/>
  <c r="AG60" i="4" s="1"/>
  <c r="O60" i="4"/>
  <c r="Y60" i="4" s="1"/>
  <c r="AH60" i="4" s="1"/>
  <c r="P60" i="4"/>
  <c r="Z60" i="4" s="1"/>
  <c r="Q60" i="4"/>
  <c r="AA60" i="4" s="1"/>
  <c r="K61" i="4"/>
  <c r="U61" i="4" s="1"/>
  <c r="AD61" i="4" s="1"/>
  <c r="L61" i="4"/>
  <c r="V61" i="4" s="1"/>
  <c r="AE61" i="4" s="1"/>
  <c r="M61" i="4"/>
  <c r="W61" i="4" s="1"/>
  <c r="AF61" i="4" s="1"/>
  <c r="N61" i="4"/>
  <c r="X61" i="4" s="1"/>
  <c r="AG61" i="4" s="1"/>
  <c r="O61" i="4"/>
  <c r="Y61" i="4" s="1"/>
  <c r="AH61" i="4" s="1"/>
  <c r="P61" i="4"/>
  <c r="Z61" i="4" s="1"/>
  <c r="Q61" i="4"/>
  <c r="AA61" i="4" s="1"/>
  <c r="K62" i="4"/>
  <c r="U62" i="4" s="1"/>
  <c r="AD62" i="4" s="1"/>
  <c r="L62" i="4"/>
  <c r="V62" i="4" s="1"/>
  <c r="AE62" i="4" s="1"/>
  <c r="M62" i="4"/>
  <c r="W62" i="4" s="1"/>
  <c r="AF62" i="4" s="1"/>
  <c r="N62" i="4"/>
  <c r="X62" i="4" s="1"/>
  <c r="AG62" i="4" s="1"/>
  <c r="O62" i="4"/>
  <c r="Y62" i="4" s="1"/>
  <c r="AH62" i="4" s="1"/>
  <c r="P62" i="4"/>
  <c r="Z62" i="4" s="1"/>
  <c r="Q62" i="4"/>
  <c r="AA62" i="4" s="1"/>
  <c r="K63" i="4"/>
  <c r="U63" i="4" s="1"/>
  <c r="AD63" i="4" s="1"/>
  <c r="L63" i="4"/>
  <c r="V63" i="4" s="1"/>
  <c r="AE63" i="4" s="1"/>
  <c r="M63" i="4"/>
  <c r="W63" i="4" s="1"/>
  <c r="AF63" i="4" s="1"/>
  <c r="N63" i="4"/>
  <c r="X63" i="4" s="1"/>
  <c r="AG63" i="4" s="1"/>
  <c r="O63" i="4"/>
  <c r="Y63" i="4" s="1"/>
  <c r="AH63" i="4" s="1"/>
  <c r="P63" i="4"/>
  <c r="Z63" i="4" s="1"/>
  <c r="Q63" i="4"/>
  <c r="AA63" i="4" s="1"/>
  <c r="K64" i="4"/>
  <c r="U64" i="4" s="1"/>
  <c r="AD64" i="4" s="1"/>
  <c r="L64" i="4"/>
  <c r="V64" i="4" s="1"/>
  <c r="AE64" i="4" s="1"/>
  <c r="M64" i="4"/>
  <c r="W64" i="4" s="1"/>
  <c r="AF64" i="4" s="1"/>
  <c r="N64" i="4"/>
  <c r="X64" i="4" s="1"/>
  <c r="AG64" i="4" s="1"/>
  <c r="O64" i="4"/>
  <c r="Y64" i="4" s="1"/>
  <c r="AH64" i="4" s="1"/>
  <c r="P64" i="4"/>
  <c r="Z64" i="4" s="1"/>
  <c r="Q64" i="4"/>
  <c r="AA64" i="4" s="1"/>
  <c r="K65" i="4"/>
  <c r="U65" i="4" s="1"/>
  <c r="AD65" i="4" s="1"/>
  <c r="L65" i="4"/>
  <c r="V65" i="4" s="1"/>
  <c r="AE65" i="4" s="1"/>
  <c r="M65" i="4"/>
  <c r="W65" i="4" s="1"/>
  <c r="AF65" i="4" s="1"/>
  <c r="N65" i="4"/>
  <c r="X65" i="4" s="1"/>
  <c r="AG65" i="4" s="1"/>
  <c r="O65" i="4"/>
  <c r="Y65" i="4" s="1"/>
  <c r="AH65" i="4" s="1"/>
  <c r="P65" i="4"/>
  <c r="Z65" i="4" s="1"/>
  <c r="Q65" i="4"/>
  <c r="AA65" i="4" s="1"/>
  <c r="K66" i="4"/>
  <c r="U66" i="4" s="1"/>
  <c r="AD66" i="4" s="1"/>
  <c r="L66" i="4"/>
  <c r="V66" i="4" s="1"/>
  <c r="AE66" i="4" s="1"/>
  <c r="M66" i="4"/>
  <c r="W66" i="4" s="1"/>
  <c r="AF66" i="4" s="1"/>
  <c r="N66" i="4"/>
  <c r="X66" i="4" s="1"/>
  <c r="AG66" i="4" s="1"/>
  <c r="O66" i="4"/>
  <c r="Y66" i="4" s="1"/>
  <c r="AH66" i="4" s="1"/>
  <c r="P66" i="4"/>
  <c r="Z66" i="4" s="1"/>
  <c r="Q66" i="4"/>
  <c r="AA66" i="4" s="1"/>
  <c r="K67" i="4"/>
  <c r="U67" i="4" s="1"/>
  <c r="AD67" i="4" s="1"/>
  <c r="L67" i="4"/>
  <c r="V67" i="4" s="1"/>
  <c r="AE67" i="4" s="1"/>
  <c r="M67" i="4"/>
  <c r="W67" i="4" s="1"/>
  <c r="AF67" i="4" s="1"/>
  <c r="N67" i="4"/>
  <c r="X67" i="4" s="1"/>
  <c r="AG67" i="4" s="1"/>
  <c r="O67" i="4"/>
  <c r="Y67" i="4" s="1"/>
  <c r="AH67" i="4" s="1"/>
  <c r="P67" i="4"/>
  <c r="Z67" i="4" s="1"/>
  <c r="Q67" i="4"/>
  <c r="AA67" i="4" s="1"/>
  <c r="K68" i="4"/>
  <c r="U68" i="4" s="1"/>
  <c r="AD68" i="4" s="1"/>
  <c r="L68" i="4"/>
  <c r="V68" i="4" s="1"/>
  <c r="AE68" i="4" s="1"/>
  <c r="M68" i="4"/>
  <c r="W68" i="4" s="1"/>
  <c r="AF68" i="4" s="1"/>
  <c r="N68" i="4"/>
  <c r="X68" i="4" s="1"/>
  <c r="AG68" i="4" s="1"/>
  <c r="O68" i="4"/>
  <c r="Y68" i="4" s="1"/>
  <c r="AH68" i="4" s="1"/>
  <c r="P68" i="4"/>
  <c r="Z68" i="4" s="1"/>
  <c r="Q68" i="4"/>
  <c r="AA68" i="4" s="1"/>
  <c r="K69" i="4"/>
  <c r="U69" i="4" s="1"/>
  <c r="AD69" i="4" s="1"/>
  <c r="L69" i="4"/>
  <c r="V69" i="4" s="1"/>
  <c r="AE69" i="4" s="1"/>
  <c r="M69" i="4"/>
  <c r="W69" i="4" s="1"/>
  <c r="AF69" i="4" s="1"/>
  <c r="N69" i="4"/>
  <c r="X69" i="4" s="1"/>
  <c r="AG69" i="4" s="1"/>
  <c r="O69" i="4"/>
  <c r="Y69" i="4" s="1"/>
  <c r="AH69" i="4" s="1"/>
  <c r="P69" i="4"/>
  <c r="Z69" i="4" s="1"/>
  <c r="Q69" i="4"/>
  <c r="AA69" i="4" s="1"/>
  <c r="K70" i="4"/>
  <c r="U70" i="4" s="1"/>
  <c r="AD70" i="4" s="1"/>
  <c r="L70" i="4"/>
  <c r="V70" i="4" s="1"/>
  <c r="AE70" i="4" s="1"/>
  <c r="M70" i="4"/>
  <c r="W70" i="4" s="1"/>
  <c r="AF70" i="4" s="1"/>
  <c r="N70" i="4"/>
  <c r="X70" i="4" s="1"/>
  <c r="AG70" i="4" s="1"/>
  <c r="O70" i="4"/>
  <c r="Y70" i="4" s="1"/>
  <c r="AH70" i="4" s="1"/>
  <c r="P70" i="4"/>
  <c r="Z70" i="4" s="1"/>
  <c r="Q70" i="4"/>
  <c r="AA70" i="4" s="1"/>
  <c r="K71" i="4"/>
  <c r="U71" i="4" s="1"/>
  <c r="AD71" i="4" s="1"/>
  <c r="L71" i="4"/>
  <c r="V71" i="4" s="1"/>
  <c r="AE71" i="4" s="1"/>
  <c r="M71" i="4"/>
  <c r="W71" i="4" s="1"/>
  <c r="AF71" i="4" s="1"/>
  <c r="N71" i="4"/>
  <c r="X71" i="4" s="1"/>
  <c r="AG71" i="4" s="1"/>
  <c r="O71" i="4"/>
  <c r="Y71" i="4" s="1"/>
  <c r="AH71" i="4" s="1"/>
  <c r="P71" i="4"/>
  <c r="Z71" i="4" s="1"/>
  <c r="Q71" i="4"/>
  <c r="AA71" i="4" s="1"/>
  <c r="K72" i="4"/>
  <c r="U72" i="4" s="1"/>
  <c r="AD72" i="4" s="1"/>
  <c r="L72" i="4"/>
  <c r="V72" i="4" s="1"/>
  <c r="AE72" i="4" s="1"/>
  <c r="M72" i="4"/>
  <c r="W72" i="4" s="1"/>
  <c r="AF72" i="4" s="1"/>
  <c r="N72" i="4"/>
  <c r="X72" i="4" s="1"/>
  <c r="AG72" i="4" s="1"/>
  <c r="O72" i="4"/>
  <c r="Y72" i="4" s="1"/>
  <c r="AH72" i="4" s="1"/>
  <c r="P72" i="4"/>
  <c r="Z72" i="4" s="1"/>
  <c r="Q72" i="4"/>
  <c r="AA72" i="4" s="1"/>
  <c r="K73" i="4"/>
  <c r="U73" i="4" s="1"/>
  <c r="AD73" i="4" s="1"/>
  <c r="L73" i="4"/>
  <c r="V73" i="4" s="1"/>
  <c r="AE73" i="4" s="1"/>
  <c r="M73" i="4"/>
  <c r="W73" i="4" s="1"/>
  <c r="AF73" i="4" s="1"/>
  <c r="N73" i="4"/>
  <c r="X73" i="4" s="1"/>
  <c r="AG73" i="4" s="1"/>
  <c r="O73" i="4"/>
  <c r="Y73" i="4" s="1"/>
  <c r="AH73" i="4" s="1"/>
  <c r="P73" i="4"/>
  <c r="Z73" i="4" s="1"/>
  <c r="Q73" i="4"/>
  <c r="AA73" i="4" s="1"/>
  <c r="K74" i="4"/>
  <c r="U74" i="4" s="1"/>
  <c r="AD74" i="4" s="1"/>
  <c r="L74" i="4"/>
  <c r="V74" i="4" s="1"/>
  <c r="AE74" i="4" s="1"/>
  <c r="M74" i="4"/>
  <c r="W74" i="4" s="1"/>
  <c r="AF74" i="4" s="1"/>
  <c r="N74" i="4"/>
  <c r="X74" i="4" s="1"/>
  <c r="AG74" i="4" s="1"/>
  <c r="O74" i="4"/>
  <c r="Y74" i="4" s="1"/>
  <c r="AH74" i="4" s="1"/>
  <c r="P74" i="4"/>
  <c r="Z74" i="4" s="1"/>
  <c r="Q74" i="4"/>
  <c r="AA74" i="4" s="1"/>
  <c r="K75" i="4"/>
  <c r="U75" i="4" s="1"/>
  <c r="AD75" i="4" s="1"/>
  <c r="L75" i="4"/>
  <c r="V75" i="4" s="1"/>
  <c r="AE75" i="4" s="1"/>
  <c r="M75" i="4"/>
  <c r="W75" i="4" s="1"/>
  <c r="AF75" i="4" s="1"/>
  <c r="N75" i="4"/>
  <c r="X75" i="4" s="1"/>
  <c r="AG75" i="4" s="1"/>
  <c r="O75" i="4"/>
  <c r="Y75" i="4" s="1"/>
  <c r="AH75" i="4" s="1"/>
  <c r="P75" i="4"/>
  <c r="Z75" i="4" s="1"/>
  <c r="Q75" i="4"/>
  <c r="AA75" i="4" s="1"/>
  <c r="K76" i="4"/>
  <c r="U76" i="4" s="1"/>
  <c r="AD76" i="4" s="1"/>
  <c r="L76" i="4"/>
  <c r="V76" i="4" s="1"/>
  <c r="AE76" i="4" s="1"/>
  <c r="M76" i="4"/>
  <c r="W76" i="4" s="1"/>
  <c r="AF76" i="4" s="1"/>
  <c r="N76" i="4"/>
  <c r="X76" i="4" s="1"/>
  <c r="AG76" i="4" s="1"/>
  <c r="O76" i="4"/>
  <c r="Y76" i="4" s="1"/>
  <c r="AH76" i="4" s="1"/>
  <c r="P76" i="4"/>
  <c r="Z76" i="4" s="1"/>
  <c r="Q76" i="4"/>
  <c r="AA76" i="4" s="1"/>
  <c r="K77" i="4"/>
  <c r="U77" i="4" s="1"/>
  <c r="AD77" i="4" s="1"/>
  <c r="L77" i="4"/>
  <c r="V77" i="4" s="1"/>
  <c r="AE77" i="4" s="1"/>
  <c r="M77" i="4"/>
  <c r="W77" i="4" s="1"/>
  <c r="AF77" i="4" s="1"/>
  <c r="N77" i="4"/>
  <c r="X77" i="4" s="1"/>
  <c r="AG77" i="4" s="1"/>
  <c r="O77" i="4"/>
  <c r="Y77" i="4" s="1"/>
  <c r="AH77" i="4" s="1"/>
  <c r="P77" i="4"/>
  <c r="Z77" i="4" s="1"/>
  <c r="Q77" i="4"/>
  <c r="AA77" i="4" s="1"/>
  <c r="K78" i="4"/>
  <c r="U78" i="4" s="1"/>
  <c r="AD78" i="4" s="1"/>
  <c r="L78" i="4"/>
  <c r="V78" i="4" s="1"/>
  <c r="AE78" i="4" s="1"/>
  <c r="M78" i="4"/>
  <c r="W78" i="4" s="1"/>
  <c r="AF78" i="4" s="1"/>
  <c r="N78" i="4"/>
  <c r="X78" i="4" s="1"/>
  <c r="AG78" i="4" s="1"/>
  <c r="O78" i="4"/>
  <c r="Y78" i="4" s="1"/>
  <c r="AH78" i="4" s="1"/>
  <c r="P78" i="4"/>
  <c r="Z78" i="4" s="1"/>
  <c r="Q78" i="4"/>
  <c r="AA78" i="4" s="1"/>
  <c r="K79" i="4"/>
  <c r="U79" i="4" s="1"/>
  <c r="AD79" i="4" s="1"/>
  <c r="L79" i="4"/>
  <c r="V79" i="4" s="1"/>
  <c r="AE79" i="4" s="1"/>
  <c r="M79" i="4"/>
  <c r="W79" i="4" s="1"/>
  <c r="AF79" i="4" s="1"/>
  <c r="N79" i="4"/>
  <c r="X79" i="4" s="1"/>
  <c r="AG79" i="4" s="1"/>
  <c r="O79" i="4"/>
  <c r="Y79" i="4" s="1"/>
  <c r="AH79" i="4" s="1"/>
  <c r="P79" i="4"/>
  <c r="Z79" i="4" s="1"/>
  <c r="Q79" i="4"/>
  <c r="AA79" i="4" s="1"/>
  <c r="K80" i="4"/>
  <c r="U80" i="4" s="1"/>
  <c r="AD80" i="4" s="1"/>
  <c r="L80" i="4"/>
  <c r="V80" i="4" s="1"/>
  <c r="AE80" i="4" s="1"/>
  <c r="M80" i="4"/>
  <c r="W80" i="4" s="1"/>
  <c r="AF80" i="4" s="1"/>
  <c r="N80" i="4"/>
  <c r="X80" i="4" s="1"/>
  <c r="AG80" i="4" s="1"/>
  <c r="O80" i="4"/>
  <c r="Y80" i="4" s="1"/>
  <c r="AH80" i="4" s="1"/>
  <c r="P80" i="4"/>
  <c r="Z80" i="4" s="1"/>
  <c r="Q80" i="4"/>
  <c r="AA80" i="4" s="1"/>
  <c r="K81" i="4"/>
  <c r="U81" i="4" s="1"/>
  <c r="AD81" i="4" s="1"/>
  <c r="L81" i="4"/>
  <c r="V81" i="4" s="1"/>
  <c r="AE81" i="4" s="1"/>
  <c r="M81" i="4"/>
  <c r="W81" i="4" s="1"/>
  <c r="AF81" i="4" s="1"/>
  <c r="N81" i="4"/>
  <c r="X81" i="4" s="1"/>
  <c r="AG81" i="4" s="1"/>
  <c r="O81" i="4"/>
  <c r="Y81" i="4" s="1"/>
  <c r="AH81" i="4" s="1"/>
  <c r="P81" i="4"/>
  <c r="Z81" i="4" s="1"/>
  <c r="Q81" i="4"/>
  <c r="AA81" i="4" s="1"/>
  <c r="K82" i="4"/>
  <c r="U82" i="4" s="1"/>
  <c r="AD82" i="4" s="1"/>
  <c r="L82" i="4"/>
  <c r="V82" i="4" s="1"/>
  <c r="AE82" i="4" s="1"/>
  <c r="M82" i="4"/>
  <c r="W82" i="4" s="1"/>
  <c r="AF82" i="4" s="1"/>
  <c r="N82" i="4"/>
  <c r="X82" i="4" s="1"/>
  <c r="AG82" i="4" s="1"/>
  <c r="O82" i="4"/>
  <c r="Y82" i="4" s="1"/>
  <c r="AH82" i="4" s="1"/>
  <c r="P82" i="4"/>
  <c r="Z82" i="4" s="1"/>
  <c r="Q82" i="4"/>
  <c r="AA82" i="4" s="1"/>
  <c r="K83" i="4"/>
  <c r="U83" i="4" s="1"/>
  <c r="AD83" i="4" s="1"/>
  <c r="L83" i="4"/>
  <c r="V83" i="4" s="1"/>
  <c r="AE83" i="4" s="1"/>
  <c r="M83" i="4"/>
  <c r="W83" i="4" s="1"/>
  <c r="AF83" i="4" s="1"/>
  <c r="N83" i="4"/>
  <c r="X83" i="4" s="1"/>
  <c r="AG83" i="4" s="1"/>
  <c r="O83" i="4"/>
  <c r="Y83" i="4" s="1"/>
  <c r="AH83" i="4" s="1"/>
  <c r="P83" i="4"/>
  <c r="Z83" i="4" s="1"/>
  <c r="Q83" i="4"/>
  <c r="AA83" i="4" s="1"/>
  <c r="K84" i="4"/>
  <c r="U84" i="4" s="1"/>
  <c r="AD84" i="4" s="1"/>
  <c r="L84" i="4"/>
  <c r="V84" i="4" s="1"/>
  <c r="AE84" i="4" s="1"/>
  <c r="M84" i="4"/>
  <c r="W84" i="4" s="1"/>
  <c r="AF84" i="4" s="1"/>
  <c r="N84" i="4"/>
  <c r="X84" i="4" s="1"/>
  <c r="AG84" i="4" s="1"/>
  <c r="O84" i="4"/>
  <c r="Y84" i="4" s="1"/>
  <c r="AH84" i="4" s="1"/>
  <c r="P84" i="4"/>
  <c r="Z84" i="4" s="1"/>
  <c r="Q84" i="4"/>
  <c r="AA84" i="4" s="1"/>
  <c r="K85" i="4"/>
  <c r="U85" i="4" s="1"/>
  <c r="AD85" i="4" s="1"/>
  <c r="L85" i="4"/>
  <c r="V85" i="4" s="1"/>
  <c r="AE85" i="4" s="1"/>
  <c r="M85" i="4"/>
  <c r="W85" i="4" s="1"/>
  <c r="AF85" i="4" s="1"/>
  <c r="N85" i="4"/>
  <c r="X85" i="4" s="1"/>
  <c r="AG85" i="4" s="1"/>
  <c r="O85" i="4"/>
  <c r="Y85" i="4" s="1"/>
  <c r="AH85" i="4" s="1"/>
  <c r="P85" i="4"/>
  <c r="Z85" i="4" s="1"/>
  <c r="Q85" i="4"/>
  <c r="AA85" i="4" s="1"/>
  <c r="K86" i="4"/>
  <c r="U86" i="4" s="1"/>
  <c r="AD86" i="4" s="1"/>
  <c r="L86" i="4"/>
  <c r="V86" i="4" s="1"/>
  <c r="AE86" i="4" s="1"/>
  <c r="M86" i="4"/>
  <c r="W86" i="4" s="1"/>
  <c r="AF86" i="4" s="1"/>
  <c r="N86" i="4"/>
  <c r="X86" i="4" s="1"/>
  <c r="AG86" i="4" s="1"/>
  <c r="O86" i="4"/>
  <c r="Y86" i="4" s="1"/>
  <c r="AH86" i="4" s="1"/>
  <c r="P86" i="4"/>
  <c r="Z86" i="4" s="1"/>
  <c r="Q86" i="4"/>
  <c r="AA86" i="4" s="1"/>
  <c r="K87" i="4"/>
  <c r="U87" i="4" s="1"/>
  <c r="AD87" i="4" s="1"/>
  <c r="L87" i="4"/>
  <c r="V87" i="4" s="1"/>
  <c r="AE87" i="4" s="1"/>
  <c r="M87" i="4"/>
  <c r="W87" i="4" s="1"/>
  <c r="AF87" i="4" s="1"/>
  <c r="N87" i="4"/>
  <c r="X87" i="4" s="1"/>
  <c r="AG87" i="4" s="1"/>
  <c r="O87" i="4"/>
  <c r="Y87" i="4" s="1"/>
  <c r="AH87" i="4" s="1"/>
  <c r="P87" i="4"/>
  <c r="Z87" i="4" s="1"/>
  <c r="Q87" i="4"/>
  <c r="AA87" i="4" s="1"/>
  <c r="K88" i="4"/>
  <c r="U88" i="4" s="1"/>
  <c r="AD88" i="4" s="1"/>
  <c r="L88" i="4"/>
  <c r="V88" i="4" s="1"/>
  <c r="AE88" i="4" s="1"/>
  <c r="M88" i="4"/>
  <c r="W88" i="4" s="1"/>
  <c r="AF88" i="4" s="1"/>
  <c r="N88" i="4"/>
  <c r="X88" i="4" s="1"/>
  <c r="AG88" i="4" s="1"/>
  <c r="O88" i="4"/>
  <c r="Y88" i="4" s="1"/>
  <c r="AH88" i="4" s="1"/>
  <c r="P88" i="4"/>
  <c r="Z88" i="4" s="1"/>
  <c r="Q88" i="4"/>
  <c r="AA88" i="4" s="1"/>
  <c r="K89" i="4"/>
  <c r="U89" i="4" s="1"/>
  <c r="AD89" i="4" s="1"/>
  <c r="L89" i="4"/>
  <c r="V89" i="4" s="1"/>
  <c r="AE89" i="4" s="1"/>
  <c r="M89" i="4"/>
  <c r="W89" i="4" s="1"/>
  <c r="AF89" i="4" s="1"/>
  <c r="N89" i="4"/>
  <c r="X89" i="4" s="1"/>
  <c r="AG89" i="4" s="1"/>
  <c r="O89" i="4"/>
  <c r="Y89" i="4" s="1"/>
  <c r="AH89" i="4" s="1"/>
  <c r="P89" i="4"/>
  <c r="Z89" i="4" s="1"/>
  <c r="Q89" i="4"/>
  <c r="AA89" i="4" s="1"/>
  <c r="K90" i="4"/>
  <c r="U90" i="4" s="1"/>
  <c r="AD90" i="4" s="1"/>
  <c r="L90" i="4"/>
  <c r="V90" i="4" s="1"/>
  <c r="AE90" i="4" s="1"/>
  <c r="M90" i="4"/>
  <c r="W90" i="4" s="1"/>
  <c r="AF90" i="4" s="1"/>
  <c r="N90" i="4"/>
  <c r="X90" i="4" s="1"/>
  <c r="AG90" i="4" s="1"/>
  <c r="O90" i="4"/>
  <c r="Y90" i="4" s="1"/>
  <c r="AH90" i="4" s="1"/>
  <c r="P90" i="4"/>
  <c r="Z90" i="4" s="1"/>
  <c r="Q90" i="4"/>
  <c r="AA90" i="4" s="1"/>
  <c r="K91" i="4"/>
  <c r="U91" i="4" s="1"/>
  <c r="AD91" i="4" s="1"/>
  <c r="L91" i="4"/>
  <c r="V91" i="4" s="1"/>
  <c r="AE91" i="4" s="1"/>
  <c r="M91" i="4"/>
  <c r="W91" i="4" s="1"/>
  <c r="AF91" i="4" s="1"/>
  <c r="N91" i="4"/>
  <c r="X91" i="4" s="1"/>
  <c r="AG91" i="4" s="1"/>
  <c r="O91" i="4"/>
  <c r="Y91" i="4" s="1"/>
  <c r="AH91" i="4" s="1"/>
  <c r="P91" i="4"/>
  <c r="Z91" i="4" s="1"/>
  <c r="Q91" i="4"/>
  <c r="AA91" i="4" s="1"/>
  <c r="K92" i="4"/>
  <c r="U92" i="4" s="1"/>
  <c r="AD92" i="4" s="1"/>
  <c r="L92" i="4"/>
  <c r="V92" i="4" s="1"/>
  <c r="AE92" i="4" s="1"/>
  <c r="M92" i="4"/>
  <c r="W92" i="4" s="1"/>
  <c r="AF92" i="4" s="1"/>
  <c r="N92" i="4"/>
  <c r="X92" i="4" s="1"/>
  <c r="AG92" i="4" s="1"/>
  <c r="O92" i="4"/>
  <c r="Y92" i="4" s="1"/>
  <c r="AH92" i="4" s="1"/>
  <c r="P92" i="4"/>
  <c r="Z92" i="4" s="1"/>
  <c r="Q92" i="4"/>
  <c r="AA92" i="4" s="1"/>
  <c r="K93" i="4"/>
  <c r="U93" i="4" s="1"/>
  <c r="AD93" i="4" s="1"/>
  <c r="L93" i="4"/>
  <c r="V93" i="4" s="1"/>
  <c r="AE93" i="4" s="1"/>
  <c r="M93" i="4"/>
  <c r="W93" i="4" s="1"/>
  <c r="AF93" i="4" s="1"/>
  <c r="N93" i="4"/>
  <c r="X93" i="4" s="1"/>
  <c r="AG93" i="4" s="1"/>
  <c r="O93" i="4"/>
  <c r="Y93" i="4" s="1"/>
  <c r="AH93" i="4" s="1"/>
  <c r="P93" i="4"/>
  <c r="Z93" i="4" s="1"/>
  <c r="Q93" i="4"/>
  <c r="AA93" i="4" s="1"/>
  <c r="K94" i="4"/>
  <c r="U94" i="4" s="1"/>
  <c r="AD94" i="4" s="1"/>
  <c r="L94" i="4"/>
  <c r="V94" i="4" s="1"/>
  <c r="AE94" i="4" s="1"/>
  <c r="M94" i="4"/>
  <c r="W94" i="4" s="1"/>
  <c r="AF94" i="4" s="1"/>
  <c r="N94" i="4"/>
  <c r="X94" i="4" s="1"/>
  <c r="AG94" i="4" s="1"/>
  <c r="O94" i="4"/>
  <c r="Y94" i="4" s="1"/>
  <c r="AH94" i="4" s="1"/>
  <c r="P94" i="4"/>
  <c r="Z94" i="4" s="1"/>
  <c r="Q94" i="4"/>
  <c r="AA94" i="4" s="1"/>
  <c r="K95" i="4"/>
  <c r="U95" i="4" s="1"/>
  <c r="AD95" i="4" s="1"/>
  <c r="L95" i="4"/>
  <c r="V95" i="4" s="1"/>
  <c r="AE95" i="4" s="1"/>
  <c r="M95" i="4"/>
  <c r="W95" i="4" s="1"/>
  <c r="AF95" i="4" s="1"/>
  <c r="N95" i="4"/>
  <c r="X95" i="4" s="1"/>
  <c r="AG95" i="4" s="1"/>
  <c r="O95" i="4"/>
  <c r="Y95" i="4" s="1"/>
  <c r="AH95" i="4" s="1"/>
  <c r="P95" i="4"/>
  <c r="Z95" i="4" s="1"/>
  <c r="Q95" i="4"/>
  <c r="AA95" i="4" s="1"/>
  <c r="K96" i="4"/>
  <c r="U96" i="4" s="1"/>
  <c r="AD96" i="4" s="1"/>
  <c r="L96" i="4"/>
  <c r="V96" i="4" s="1"/>
  <c r="AE96" i="4" s="1"/>
  <c r="M96" i="4"/>
  <c r="W96" i="4" s="1"/>
  <c r="AF96" i="4" s="1"/>
  <c r="N96" i="4"/>
  <c r="X96" i="4" s="1"/>
  <c r="AG96" i="4" s="1"/>
  <c r="O96" i="4"/>
  <c r="Y96" i="4" s="1"/>
  <c r="AH96" i="4" s="1"/>
  <c r="P96" i="4"/>
  <c r="Z96" i="4" s="1"/>
  <c r="Q96" i="4"/>
  <c r="AA96" i="4" s="1"/>
  <c r="K97" i="4"/>
  <c r="U97" i="4" s="1"/>
  <c r="AD97" i="4" s="1"/>
  <c r="L97" i="4"/>
  <c r="V97" i="4" s="1"/>
  <c r="AE97" i="4" s="1"/>
  <c r="M97" i="4"/>
  <c r="W97" i="4" s="1"/>
  <c r="AF97" i="4" s="1"/>
  <c r="N97" i="4"/>
  <c r="X97" i="4" s="1"/>
  <c r="AG97" i="4" s="1"/>
  <c r="O97" i="4"/>
  <c r="Y97" i="4" s="1"/>
  <c r="AH97" i="4" s="1"/>
  <c r="P97" i="4"/>
  <c r="Z97" i="4" s="1"/>
  <c r="Q97" i="4"/>
  <c r="AA97" i="4" s="1"/>
  <c r="K98" i="4"/>
  <c r="U98" i="4" s="1"/>
  <c r="AD98" i="4" s="1"/>
  <c r="L98" i="4"/>
  <c r="V98" i="4" s="1"/>
  <c r="AE98" i="4" s="1"/>
  <c r="M98" i="4"/>
  <c r="W98" i="4" s="1"/>
  <c r="AF98" i="4" s="1"/>
  <c r="N98" i="4"/>
  <c r="X98" i="4" s="1"/>
  <c r="AG98" i="4" s="1"/>
  <c r="O98" i="4"/>
  <c r="Y98" i="4" s="1"/>
  <c r="AH98" i="4" s="1"/>
  <c r="P98" i="4"/>
  <c r="Z98" i="4" s="1"/>
  <c r="Q98" i="4"/>
  <c r="AA98" i="4" s="1"/>
  <c r="K99" i="4"/>
  <c r="U99" i="4" s="1"/>
  <c r="AD99" i="4" s="1"/>
  <c r="L99" i="4"/>
  <c r="V99" i="4" s="1"/>
  <c r="AE99" i="4" s="1"/>
  <c r="M99" i="4"/>
  <c r="W99" i="4" s="1"/>
  <c r="AF99" i="4" s="1"/>
  <c r="N99" i="4"/>
  <c r="X99" i="4" s="1"/>
  <c r="AG99" i="4" s="1"/>
  <c r="O99" i="4"/>
  <c r="Y99" i="4" s="1"/>
  <c r="AH99" i="4" s="1"/>
  <c r="P99" i="4"/>
  <c r="Z99" i="4" s="1"/>
  <c r="Q99" i="4"/>
  <c r="AA99" i="4" s="1"/>
  <c r="K100" i="4"/>
  <c r="U100" i="4" s="1"/>
  <c r="AD100" i="4" s="1"/>
  <c r="L100" i="4"/>
  <c r="V100" i="4" s="1"/>
  <c r="AE100" i="4" s="1"/>
  <c r="M100" i="4"/>
  <c r="W100" i="4" s="1"/>
  <c r="AF100" i="4" s="1"/>
  <c r="N100" i="4"/>
  <c r="X100" i="4" s="1"/>
  <c r="AG100" i="4" s="1"/>
  <c r="O100" i="4"/>
  <c r="Y100" i="4" s="1"/>
  <c r="AH100" i="4" s="1"/>
  <c r="P100" i="4"/>
  <c r="Z100" i="4" s="1"/>
  <c r="Q100" i="4"/>
  <c r="AA100" i="4" s="1"/>
  <c r="K101" i="4"/>
  <c r="U101" i="4" s="1"/>
  <c r="AD101" i="4" s="1"/>
  <c r="L101" i="4"/>
  <c r="V101" i="4" s="1"/>
  <c r="AE101" i="4" s="1"/>
  <c r="M101" i="4"/>
  <c r="W101" i="4" s="1"/>
  <c r="AF101" i="4" s="1"/>
  <c r="N101" i="4"/>
  <c r="X101" i="4" s="1"/>
  <c r="AG101" i="4" s="1"/>
  <c r="O101" i="4"/>
  <c r="Y101" i="4" s="1"/>
  <c r="AH101" i="4" s="1"/>
  <c r="P101" i="4"/>
  <c r="Z101" i="4" s="1"/>
  <c r="Q101" i="4"/>
  <c r="AA101" i="4" s="1"/>
  <c r="K102" i="4"/>
  <c r="U102" i="4" s="1"/>
  <c r="AD102" i="4" s="1"/>
  <c r="L102" i="4"/>
  <c r="V102" i="4" s="1"/>
  <c r="AE102" i="4" s="1"/>
  <c r="M102" i="4"/>
  <c r="W102" i="4" s="1"/>
  <c r="AF102" i="4" s="1"/>
  <c r="N102" i="4"/>
  <c r="X102" i="4" s="1"/>
  <c r="AG102" i="4" s="1"/>
  <c r="O102" i="4"/>
  <c r="Y102" i="4" s="1"/>
  <c r="AH102" i="4" s="1"/>
  <c r="P102" i="4"/>
  <c r="Z102" i="4" s="1"/>
  <c r="Q102" i="4"/>
  <c r="AA102" i="4" s="1"/>
  <c r="K103" i="4"/>
  <c r="U103" i="4" s="1"/>
  <c r="AD103" i="4" s="1"/>
  <c r="L103" i="4"/>
  <c r="V103" i="4" s="1"/>
  <c r="AE103" i="4" s="1"/>
  <c r="M103" i="4"/>
  <c r="W103" i="4" s="1"/>
  <c r="AF103" i="4" s="1"/>
  <c r="N103" i="4"/>
  <c r="X103" i="4" s="1"/>
  <c r="AG103" i="4" s="1"/>
  <c r="O103" i="4"/>
  <c r="Y103" i="4" s="1"/>
  <c r="AH103" i="4" s="1"/>
  <c r="P103" i="4"/>
  <c r="Z103" i="4" s="1"/>
  <c r="Q103" i="4"/>
  <c r="AA103" i="4" s="1"/>
  <c r="K104" i="4"/>
  <c r="U104" i="4" s="1"/>
  <c r="AD104" i="4" s="1"/>
  <c r="L104" i="4"/>
  <c r="V104" i="4" s="1"/>
  <c r="AE104" i="4" s="1"/>
  <c r="M104" i="4"/>
  <c r="W104" i="4" s="1"/>
  <c r="AF104" i="4" s="1"/>
  <c r="N104" i="4"/>
  <c r="X104" i="4" s="1"/>
  <c r="AG104" i="4" s="1"/>
  <c r="O104" i="4"/>
  <c r="Y104" i="4" s="1"/>
  <c r="AH104" i="4" s="1"/>
  <c r="P104" i="4"/>
  <c r="Z104" i="4" s="1"/>
  <c r="Q104" i="4"/>
  <c r="AA104" i="4" s="1"/>
  <c r="K105" i="4"/>
  <c r="U105" i="4" s="1"/>
  <c r="AD105" i="4" s="1"/>
  <c r="L105" i="4"/>
  <c r="V105" i="4" s="1"/>
  <c r="AE105" i="4" s="1"/>
  <c r="M105" i="4"/>
  <c r="W105" i="4" s="1"/>
  <c r="AF105" i="4" s="1"/>
  <c r="N105" i="4"/>
  <c r="X105" i="4" s="1"/>
  <c r="AG105" i="4" s="1"/>
  <c r="O105" i="4"/>
  <c r="Y105" i="4" s="1"/>
  <c r="AH105" i="4" s="1"/>
  <c r="P105" i="4"/>
  <c r="Z105" i="4" s="1"/>
  <c r="Q105" i="4"/>
  <c r="AA105" i="4" s="1"/>
  <c r="K106" i="4"/>
  <c r="U106" i="4" s="1"/>
  <c r="AD106" i="4" s="1"/>
  <c r="L106" i="4"/>
  <c r="V106" i="4" s="1"/>
  <c r="AE106" i="4" s="1"/>
  <c r="M106" i="4"/>
  <c r="W106" i="4" s="1"/>
  <c r="AF106" i="4" s="1"/>
  <c r="N106" i="4"/>
  <c r="X106" i="4" s="1"/>
  <c r="AG106" i="4" s="1"/>
  <c r="O106" i="4"/>
  <c r="Y106" i="4" s="1"/>
  <c r="AH106" i="4" s="1"/>
  <c r="P106" i="4"/>
  <c r="Z106" i="4" s="1"/>
  <c r="Q106" i="4"/>
  <c r="AA106" i="4" s="1"/>
  <c r="K107" i="4"/>
  <c r="U107" i="4" s="1"/>
  <c r="AD107" i="4" s="1"/>
  <c r="L107" i="4"/>
  <c r="V107" i="4" s="1"/>
  <c r="AE107" i="4" s="1"/>
  <c r="M107" i="4"/>
  <c r="W107" i="4" s="1"/>
  <c r="AF107" i="4" s="1"/>
  <c r="N107" i="4"/>
  <c r="X107" i="4" s="1"/>
  <c r="AG107" i="4" s="1"/>
  <c r="O107" i="4"/>
  <c r="Y107" i="4" s="1"/>
  <c r="AH107" i="4" s="1"/>
  <c r="P107" i="4"/>
  <c r="Z107" i="4" s="1"/>
  <c r="Q107" i="4"/>
  <c r="AA107" i="4" s="1"/>
  <c r="K108" i="4"/>
  <c r="U108" i="4" s="1"/>
  <c r="AD108" i="4" s="1"/>
  <c r="L108" i="4"/>
  <c r="V108" i="4" s="1"/>
  <c r="AE108" i="4" s="1"/>
  <c r="M108" i="4"/>
  <c r="W108" i="4" s="1"/>
  <c r="AF108" i="4" s="1"/>
  <c r="N108" i="4"/>
  <c r="X108" i="4" s="1"/>
  <c r="AG108" i="4" s="1"/>
  <c r="O108" i="4"/>
  <c r="Y108" i="4" s="1"/>
  <c r="AH108" i="4" s="1"/>
  <c r="P108" i="4"/>
  <c r="Z108" i="4" s="1"/>
  <c r="Q108" i="4"/>
  <c r="AA108" i="4" s="1"/>
  <c r="K109" i="4"/>
  <c r="U109" i="4" s="1"/>
  <c r="AD109" i="4" s="1"/>
  <c r="L109" i="4"/>
  <c r="V109" i="4" s="1"/>
  <c r="AE109" i="4" s="1"/>
  <c r="M109" i="4"/>
  <c r="W109" i="4" s="1"/>
  <c r="AF109" i="4" s="1"/>
  <c r="N109" i="4"/>
  <c r="X109" i="4" s="1"/>
  <c r="AG109" i="4" s="1"/>
  <c r="O109" i="4"/>
  <c r="Y109" i="4" s="1"/>
  <c r="AH109" i="4" s="1"/>
  <c r="P109" i="4"/>
  <c r="Z109" i="4" s="1"/>
  <c r="Q109" i="4"/>
  <c r="AA109" i="4" s="1"/>
  <c r="K110" i="4"/>
  <c r="U110" i="4" s="1"/>
  <c r="AD110" i="4" s="1"/>
  <c r="L110" i="4"/>
  <c r="V110" i="4" s="1"/>
  <c r="AE110" i="4" s="1"/>
  <c r="M110" i="4"/>
  <c r="W110" i="4" s="1"/>
  <c r="AF110" i="4" s="1"/>
  <c r="N110" i="4"/>
  <c r="X110" i="4" s="1"/>
  <c r="AG110" i="4" s="1"/>
  <c r="O110" i="4"/>
  <c r="Y110" i="4" s="1"/>
  <c r="AH110" i="4" s="1"/>
  <c r="P110" i="4"/>
  <c r="Z110" i="4" s="1"/>
  <c r="Q110" i="4"/>
  <c r="AA110" i="4" s="1"/>
  <c r="K111" i="4"/>
  <c r="U111" i="4" s="1"/>
  <c r="AD111" i="4" s="1"/>
  <c r="L111" i="4"/>
  <c r="V111" i="4" s="1"/>
  <c r="AE111" i="4" s="1"/>
  <c r="M111" i="4"/>
  <c r="W111" i="4" s="1"/>
  <c r="AF111" i="4" s="1"/>
  <c r="N111" i="4"/>
  <c r="X111" i="4" s="1"/>
  <c r="AG111" i="4" s="1"/>
  <c r="O111" i="4"/>
  <c r="Y111" i="4" s="1"/>
  <c r="AH111" i="4" s="1"/>
  <c r="P111" i="4"/>
  <c r="Z111" i="4" s="1"/>
  <c r="Q111" i="4"/>
  <c r="AA111" i="4" s="1"/>
  <c r="K112" i="4"/>
  <c r="U112" i="4" s="1"/>
  <c r="AD112" i="4" s="1"/>
  <c r="L112" i="4"/>
  <c r="V112" i="4" s="1"/>
  <c r="AE112" i="4" s="1"/>
  <c r="M112" i="4"/>
  <c r="W112" i="4" s="1"/>
  <c r="AF112" i="4" s="1"/>
  <c r="N112" i="4"/>
  <c r="X112" i="4" s="1"/>
  <c r="AG112" i="4" s="1"/>
  <c r="O112" i="4"/>
  <c r="Y112" i="4" s="1"/>
  <c r="AH112" i="4" s="1"/>
  <c r="P112" i="4"/>
  <c r="Z112" i="4" s="1"/>
  <c r="Q112" i="4"/>
  <c r="AA112" i="4" s="1"/>
  <c r="K113" i="4"/>
  <c r="U113" i="4" s="1"/>
  <c r="AD113" i="4" s="1"/>
  <c r="L113" i="4"/>
  <c r="V113" i="4" s="1"/>
  <c r="AE113" i="4" s="1"/>
  <c r="M113" i="4"/>
  <c r="W113" i="4" s="1"/>
  <c r="AF113" i="4" s="1"/>
  <c r="N113" i="4"/>
  <c r="X113" i="4" s="1"/>
  <c r="AG113" i="4" s="1"/>
  <c r="O113" i="4"/>
  <c r="Y113" i="4" s="1"/>
  <c r="AH113" i="4" s="1"/>
  <c r="P113" i="4"/>
  <c r="Z113" i="4" s="1"/>
  <c r="Q113" i="4"/>
  <c r="AA113" i="4" s="1"/>
  <c r="K114" i="4"/>
  <c r="U114" i="4" s="1"/>
  <c r="AD114" i="4" s="1"/>
  <c r="L114" i="4"/>
  <c r="V114" i="4" s="1"/>
  <c r="AE114" i="4" s="1"/>
  <c r="M114" i="4"/>
  <c r="W114" i="4" s="1"/>
  <c r="AF114" i="4" s="1"/>
  <c r="N114" i="4"/>
  <c r="X114" i="4" s="1"/>
  <c r="AG114" i="4" s="1"/>
  <c r="O114" i="4"/>
  <c r="Y114" i="4" s="1"/>
  <c r="AH114" i="4" s="1"/>
  <c r="P114" i="4"/>
  <c r="Z114" i="4" s="1"/>
  <c r="Q114" i="4"/>
  <c r="AA114" i="4" s="1"/>
  <c r="K115" i="4"/>
  <c r="U115" i="4" s="1"/>
  <c r="AD115" i="4" s="1"/>
  <c r="L115" i="4"/>
  <c r="V115" i="4" s="1"/>
  <c r="AE115" i="4" s="1"/>
  <c r="M115" i="4"/>
  <c r="W115" i="4" s="1"/>
  <c r="AF115" i="4" s="1"/>
  <c r="N115" i="4"/>
  <c r="X115" i="4" s="1"/>
  <c r="AG115" i="4" s="1"/>
  <c r="O115" i="4"/>
  <c r="Y115" i="4" s="1"/>
  <c r="AH115" i="4" s="1"/>
  <c r="P115" i="4"/>
  <c r="Z115" i="4" s="1"/>
  <c r="Q115" i="4"/>
  <c r="AA115" i="4" s="1"/>
  <c r="K116" i="4"/>
  <c r="U116" i="4" s="1"/>
  <c r="AD116" i="4" s="1"/>
  <c r="L116" i="4"/>
  <c r="V116" i="4" s="1"/>
  <c r="AE116" i="4" s="1"/>
  <c r="M116" i="4"/>
  <c r="W116" i="4" s="1"/>
  <c r="AF116" i="4" s="1"/>
  <c r="N116" i="4"/>
  <c r="X116" i="4" s="1"/>
  <c r="AG116" i="4" s="1"/>
  <c r="O116" i="4"/>
  <c r="Y116" i="4" s="1"/>
  <c r="AH116" i="4" s="1"/>
  <c r="P116" i="4"/>
  <c r="Z116" i="4" s="1"/>
  <c r="Q116" i="4"/>
  <c r="AA116" i="4" s="1"/>
  <c r="K117" i="4"/>
  <c r="U117" i="4" s="1"/>
  <c r="AD117" i="4" s="1"/>
  <c r="L117" i="4"/>
  <c r="V117" i="4" s="1"/>
  <c r="AE117" i="4" s="1"/>
  <c r="M117" i="4"/>
  <c r="W117" i="4" s="1"/>
  <c r="AF117" i="4" s="1"/>
  <c r="N117" i="4"/>
  <c r="X117" i="4" s="1"/>
  <c r="AG117" i="4" s="1"/>
  <c r="O117" i="4"/>
  <c r="Y117" i="4" s="1"/>
  <c r="AH117" i="4" s="1"/>
  <c r="P117" i="4"/>
  <c r="Z117" i="4" s="1"/>
  <c r="Q117" i="4"/>
  <c r="AA117" i="4" s="1"/>
  <c r="K118" i="4"/>
  <c r="U118" i="4" s="1"/>
  <c r="AD118" i="4" s="1"/>
  <c r="L118" i="4"/>
  <c r="V118" i="4" s="1"/>
  <c r="AE118" i="4" s="1"/>
  <c r="M118" i="4"/>
  <c r="W118" i="4" s="1"/>
  <c r="AF118" i="4" s="1"/>
  <c r="N118" i="4"/>
  <c r="X118" i="4" s="1"/>
  <c r="AG118" i="4" s="1"/>
  <c r="O118" i="4"/>
  <c r="Y118" i="4" s="1"/>
  <c r="AH118" i="4" s="1"/>
  <c r="P118" i="4"/>
  <c r="Z118" i="4" s="1"/>
  <c r="Q118" i="4"/>
  <c r="AA118" i="4" s="1"/>
  <c r="K119" i="4"/>
  <c r="U119" i="4" s="1"/>
  <c r="AD119" i="4" s="1"/>
  <c r="L119" i="4"/>
  <c r="V119" i="4" s="1"/>
  <c r="AE119" i="4" s="1"/>
  <c r="M119" i="4"/>
  <c r="W119" i="4" s="1"/>
  <c r="AF119" i="4" s="1"/>
  <c r="N119" i="4"/>
  <c r="X119" i="4" s="1"/>
  <c r="AG119" i="4" s="1"/>
  <c r="O119" i="4"/>
  <c r="Y119" i="4" s="1"/>
  <c r="AH119" i="4" s="1"/>
  <c r="P119" i="4"/>
  <c r="Z119" i="4" s="1"/>
  <c r="Q119" i="4"/>
  <c r="AA119" i="4" s="1"/>
  <c r="K120" i="4"/>
  <c r="U120" i="4" s="1"/>
  <c r="AD120" i="4" s="1"/>
  <c r="L120" i="4"/>
  <c r="V120" i="4" s="1"/>
  <c r="AE120" i="4" s="1"/>
  <c r="M120" i="4"/>
  <c r="W120" i="4" s="1"/>
  <c r="AF120" i="4" s="1"/>
  <c r="N120" i="4"/>
  <c r="X120" i="4" s="1"/>
  <c r="AG120" i="4" s="1"/>
  <c r="O120" i="4"/>
  <c r="Y120" i="4" s="1"/>
  <c r="AH120" i="4" s="1"/>
  <c r="P120" i="4"/>
  <c r="Z120" i="4" s="1"/>
  <c r="Q120" i="4"/>
  <c r="AA120" i="4" s="1"/>
  <c r="K121" i="4"/>
  <c r="U121" i="4" s="1"/>
  <c r="AD121" i="4" s="1"/>
  <c r="L121" i="4"/>
  <c r="V121" i="4" s="1"/>
  <c r="AE121" i="4" s="1"/>
  <c r="M121" i="4"/>
  <c r="W121" i="4" s="1"/>
  <c r="AF121" i="4" s="1"/>
  <c r="N121" i="4"/>
  <c r="X121" i="4" s="1"/>
  <c r="AG121" i="4" s="1"/>
  <c r="O121" i="4"/>
  <c r="Y121" i="4" s="1"/>
  <c r="AH121" i="4" s="1"/>
  <c r="P121" i="4"/>
  <c r="Z121" i="4" s="1"/>
  <c r="Q121" i="4"/>
  <c r="AA121" i="4" s="1"/>
  <c r="K122" i="4"/>
  <c r="U122" i="4" s="1"/>
  <c r="AD122" i="4" s="1"/>
  <c r="L122" i="4"/>
  <c r="V122" i="4" s="1"/>
  <c r="AE122" i="4" s="1"/>
  <c r="M122" i="4"/>
  <c r="W122" i="4" s="1"/>
  <c r="AF122" i="4" s="1"/>
  <c r="N122" i="4"/>
  <c r="X122" i="4" s="1"/>
  <c r="AG122" i="4" s="1"/>
  <c r="O122" i="4"/>
  <c r="Y122" i="4" s="1"/>
  <c r="AH122" i="4" s="1"/>
  <c r="P122" i="4"/>
  <c r="Z122" i="4" s="1"/>
  <c r="Q122" i="4"/>
  <c r="AA122" i="4" s="1"/>
  <c r="K123" i="4"/>
  <c r="U123" i="4" s="1"/>
  <c r="AD123" i="4" s="1"/>
  <c r="L123" i="4"/>
  <c r="V123" i="4" s="1"/>
  <c r="AE123" i="4" s="1"/>
  <c r="M123" i="4"/>
  <c r="W123" i="4" s="1"/>
  <c r="AF123" i="4" s="1"/>
  <c r="N123" i="4"/>
  <c r="X123" i="4" s="1"/>
  <c r="AG123" i="4" s="1"/>
  <c r="O123" i="4"/>
  <c r="Y123" i="4" s="1"/>
  <c r="AH123" i="4" s="1"/>
  <c r="P123" i="4"/>
  <c r="Z123" i="4" s="1"/>
  <c r="Q123" i="4"/>
  <c r="AA123" i="4" s="1"/>
  <c r="K124" i="4"/>
  <c r="U124" i="4" s="1"/>
  <c r="AD124" i="4" s="1"/>
  <c r="L124" i="4"/>
  <c r="V124" i="4" s="1"/>
  <c r="AE124" i="4" s="1"/>
  <c r="M124" i="4"/>
  <c r="W124" i="4" s="1"/>
  <c r="AF124" i="4" s="1"/>
  <c r="N124" i="4"/>
  <c r="X124" i="4" s="1"/>
  <c r="AG124" i="4" s="1"/>
  <c r="O124" i="4"/>
  <c r="Y124" i="4" s="1"/>
  <c r="AH124" i="4" s="1"/>
  <c r="P124" i="4"/>
  <c r="Z124" i="4" s="1"/>
  <c r="Q124" i="4"/>
  <c r="AA124" i="4" s="1"/>
  <c r="K125" i="4"/>
  <c r="U125" i="4" s="1"/>
  <c r="AD125" i="4" s="1"/>
  <c r="L125" i="4"/>
  <c r="V125" i="4" s="1"/>
  <c r="AE125" i="4" s="1"/>
  <c r="M125" i="4"/>
  <c r="W125" i="4" s="1"/>
  <c r="AF125" i="4" s="1"/>
  <c r="N125" i="4"/>
  <c r="X125" i="4" s="1"/>
  <c r="AG125" i="4" s="1"/>
  <c r="O125" i="4"/>
  <c r="Y125" i="4" s="1"/>
  <c r="AH125" i="4" s="1"/>
  <c r="P125" i="4"/>
  <c r="Z125" i="4" s="1"/>
  <c r="Q125" i="4"/>
  <c r="AA125" i="4" s="1"/>
  <c r="K126" i="4"/>
  <c r="U126" i="4" s="1"/>
  <c r="AD126" i="4" s="1"/>
  <c r="L126" i="4"/>
  <c r="V126" i="4" s="1"/>
  <c r="AE126" i="4" s="1"/>
  <c r="M126" i="4"/>
  <c r="W126" i="4" s="1"/>
  <c r="AF126" i="4" s="1"/>
  <c r="N126" i="4"/>
  <c r="X126" i="4" s="1"/>
  <c r="AG126" i="4" s="1"/>
  <c r="O126" i="4"/>
  <c r="Y126" i="4" s="1"/>
  <c r="AH126" i="4" s="1"/>
  <c r="P126" i="4"/>
  <c r="Z126" i="4" s="1"/>
  <c r="Q126" i="4"/>
  <c r="AA126" i="4" s="1"/>
  <c r="K127" i="4"/>
  <c r="U127" i="4" s="1"/>
  <c r="AD127" i="4" s="1"/>
  <c r="L127" i="4"/>
  <c r="V127" i="4" s="1"/>
  <c r="AE127" i="4" s="1"/>
  <c r="M127" i="4"/>
  <c r="W127" i="4" s="1"/>
  <c r="AF127" i="4" s="1"/>
  <c r="N127" i="4"/>
  <c r="X127" i="4" s="1"/>
  <c r="AG127" i="4" s="1"/>
  <c r="O127" i="4"/>
  <c r="Y127" i="4" s="1"/>
  <c r="AH127" i="4" s="1"/>
  <c r="P127" i="4"/>
  <c r="Z127" i="4" s="1"/>
  <c r="Q127" i="4"/>
  <c r="AA127" i="4" s="1"/>
  <c r="K128" i="4"/>
  <c r="U128" i="4" s="1"/>
  <c r="AD128" i="4" s="1"/>
  <c r="L128" i="4"/>
  <c r="V128" i="4" s="1"/>
  <c r="AE128" i="4" s="1"/>
  <c r="M128" i="4"/>
  <c r="W128" i="4" s="1"/>
  <c r="AF128" i="4" s="1"/>
  <c r="N128" i="4"/>
  <c r="X128" i="4" s="1"/>
  <c r="AG128" i="4" s="1"/>
  <c r="O128" i="4"/>
  <c r="Y128" i="4" s="1"/>
  <c r="AH128" i="4" s="1"/>
  <c r="P128" i="4"/>
  <c r="Z128" i="4" s="1"/>
  <c r="Q128" i="4"/>
  <c r="AA128" i="4" s="1"/>
  <c r="K129" i="4"/>
  <c r="U129" i="4" s="1"/>
  <c r="AD129" i="4" s="1"/>
  <c r="L129" i="4"/>
  <c r="V129" i="4" s="1"/>
  <c r="AE129" i="4" s="1"/>
  <c r="M129" i="4"/>
  <c r="W129" i="4" s="1"/>
  <c r="AF129" i="4" s="1"/>
  <c r="N129" i="4"/>
  <c r="X129" i="4" s="1"/>
  <c r="AG129" i="4" s="1"/>
  <c r="O129" i="4"/>
  <c r="Y129" i="4" s="1"/>
  <c r="AH129" i="4" s="1"/>
  <c r="P129" i="4"/>
  <c r="Z129" i="4" s="1"/>
  <c r="Q129" i="4"/>
  <c r="AA129" i="4" s="1"/>
  <c r="K130" i="4"/>
  <c r="U130" i="4" s="1"/>
  <c r="AD130" i="4" s="1"/>
  <c r="L130" i="4"/>
  <c r="V130" i="4" s="1"/>
  <c r="AE130" i="4" s="1"/>
  <c r="M130" i="4"/>
  <c r="W130" i="4" s="1"/>
  <c r="AF130" i="4" s="1"/>
  <c r="N130" i="4"/>
  <c r="X130" i="4" s="1"/>
  <c r="AG130" i="4" s="1"/>
  <c r="O130" i="4"/>
  <c r="Y130" i="4" s="1"/>
  <c r="AH130" i="4" s="1"/>
  <c r="P130" i="4"/>
  <c r="Z130" i="4" s="1"/>
  <c r="Q130" i="4"/>
  <c r="AA130" i="4" s="1"/>
  <c r="K131" i="4"/>
  <c r="U131" i="4" s="1"/>
  <c r="AD131" i="4" s="1"/>
  <c r="L131" i="4"/>
  <c r="V131" i="4" s="1"/>
  <c r="AE131" i="4" s="1"/>
  <c r="M131" i="4"/>
  <c r="W131" i="4" s="1"/>
  <c r="AF131" i="4" s="1"/>
  <c r="N131" i="4"/>
  <c r="X131" i="4" s="1"/>
  <c r="AG131" i="4" s="1"/>
  <c r="O131" i="4"/>
  <c r="Y131" i="4" s="1"/>
  <c r="AH131" i="4" s="1"/>
  <c r="P131" i="4"/>
  <c r="Z131" i="4" s="1"/>
  <c r="Q131" i="4"/>
  <c r="AA131" i="4" s="1"/>
  <c r="K132" i="4"/>
  <c r="U132" i="4" s="1"/>
  <c r="AD132" i="4" s="1"/>
  <c r="L132" i="4"/>
  <c r="V132" i="4" s="1"/>
  <c r="AE132" i="4" s="1"/>
  <c r="M132" i="4"/>
  <c r="W132" i="4" s="1"/>
  <c r="AF132" i="4" s="1"/>
  <c r="N132" i="4"/>
  <c r="X132" i="4" s="1"/>
  <c r="AG132" i="4" s="1"/>
  <c r="O132" i="4"/>
  <c r="Y132" i="4" s="1"/>
  <c r="AH132" i="4" s="1"/>
  <c r="P132" i="4"/>
  <c r="Z132" i="4" s="1"/>
  <c r="Q132" i="4"/>
  <c r="AA132" i="4" s="1"/>
  <c r="K133" i="4"/>
  <c r="U133" i="4" s="1"/>
  <c r="AD133" i="4" s="1"/>
  <c r="L133" i="4"/>
  <c r="V133" i="4" s="1"/>
  <c r="AE133" i="4" s="1"/>
  <c r="M133" i="4"/>
  <c r="W133" i="4" s="1"/>
  <c r="AF133" i="4" s="1"/>
  <c r="N133" i="4"/>
  <c r="X133" i="4" s="1"/>
  <c r="AG133" i="4" s="1"/>
  <c r="O133" i="4"/>
  <c r="Y133" i="4" s="1"/>
  <c r="AH133" i="4" s="1"/>
  <c r="P133" i="4"/>
  <c r="Z133" i="4" s="1"/>
  <c r="Q133" i="4"/>
  <c r="AA133" i="4" s="1"/>
  <c r="K134" i="4"/>
  <c r="U134" i="4" s="1"/>
  <c r="AD134" i="4" s="1"/>
  <c r="L134" i="4"/>
  <c r="V134" i="4" s="1"/>
  <c r="AE134" i="4" s="1"/>
  <c r="M134" i="4"/>
  <c r="W134" i="4" s="1"/>
  <c r="AF134" i="4" s="1"/>
  <c r="N134" i="4"/>
  <c r="X134" i="4" s="1"/>
  <c r="AG134" i="4" s="1"/>
  <c r="O134" i="4"/>
  <c r="Y134" i="4" s="1"/>
  <c r="AH134" i="4" s="1"/>
  <c r="P134" i="4"/>
  <c r="Z134" i="4" s="1"/>
  <c r="Q134" i="4"/>
  <c r="AA134" i="4" s="1"/>
  <c r="K135" i="4"/>
  <c r="U135" i="4" s="1"/>
  <c r="AD135" i="4" s="1"/>
  <c r="L135" i="4"/>
  <c r="V135" i="4" s="1"/>
  <c r="AE135" i="4" s="1"/>
  <c r="M135" i="4"/>
  <c r="W135" i="4" s="1"/>
  <c r="AF135" i="4" s="1"/>
  <c r="N135" i="4"/>
  <c r="X135" i="4" s="1"/>
  <c r="AG135" i="4" s="1"/>
  <c r="O135" i="4"/>
  <c r="Y135" i="4" s="1"/>
  <c r="AH135" i="4" s="1"/>
  <c r="P135" i="4"/>
  <c r="Z135" i="4" s="1"/>
  <c r="Q135" i="4"/>
  <c r="AA135" i="4" s="1"/>
  <c r="K136" i="4"/>
  <c r="U136" i="4" s="1"/>
  <c r="AD136" i="4" s="1"/>
  <c r="L136" i="4"/>
  <c r="V136" i="4" s="1"/>
  <c r="AE136" i="4" s="1"/>
  <c r="M136" i="4"/>
  <c r="W136" i="4" s="1"/>
  <c r="AF136" i="4" s="1"/>
  <c r="N136" i="4"/>
  <c r="X136" i="4" s="1"/>
  <c r="AG136" i="4" s="1"/>
  <c r="O136" i="4"/>
  <c r="Y136" i="4" s="1"/>
  <c r="AH136" i="4" s="1"/>
  <c r="P136" i="4"/>
  <c r="Z136" i="4" s="1"/>
  <c r="Q136" i="4"/>
  <c r="AA136" i="4" s="1"/>
  <c r="K137" i="4"/>
  <c r="U137" i="4" s="1"/>
  <c r="AD137" i="4" s="1"/>
  <c r="L137" i="4"/>
  <c r="V137" i="4" s="1"/>
  <c r="AE137" i="4" s="1"/>
  <c r="M137" i="4"/>
  <c r="W137" i="4" s="1"/>
  <c r="AF137" i="4" s="1"/>
  <c r="N137" i="4"/>
  <c r="X137" i="4" s="1"/>
  <c r="AG137" i="4" s="1"/>
  <c r="O137" i="4"/>
  <c r="Y137" i="4" s="1"/>
  <c r="AH137" i="4" s="1"/>
  <c r="P137" i="4"/>
  <c r="Z137" i="4" s="1"/>
  <c r="Q137" i="4"/>
  <c r="AA137" i="4" s="1"/>
  <c r="K138" i="4"/>
  <c r="U138" i="4" s="1"/>
  <c r="AD138" i="4" s="1"/>
  <c r="L138" i="4"/>
  <c r="V138" i="4" s="1"/>
  <c r="AE138" i="4" s="1"/>
  <c r="M138" i="4"/>
  <c r="W138" i="4" s="1"/>
  <c r="AF138" i="4" s="1"/>
  <c r="N138" i="4"/>
  <c r="X138" i="4" s="1"/>
  <c r="AG138" i="4" s="1"/>
  <c r="O138" i="4"/>
  <c r="Y138" i="4" s="1"/>
  <c r="AH138" i="4" s="1"/>
  <c r="P138" i="4"/>
  <c r="Z138" i="4" s="1"/>
  <c r="Q138" i="4"/>
  <c r="AA138" i="4" s="1"/>
  <c r="K139" i="4"/>
  <c r="U139" i="4" s="1"/>
  <c r="AD139" i="4" s="1"/>
  <c r="L139" i="4"/>
  <c r="V139" i="4" s="1"/>
  <c r="AE139" i="4" s="1"/>
  <c r="M139" i="4"/>
  <c r="W139" i="4" s="1"/>
  <c r="AF139" i="4" s="1"/>
  <c r="N139" i="4"/>
  <c r="X139" i="4" s="1"/>
  <c r="AG139" i="4" s="1"/>
  <c r="O139" i="4"/>
  <c r="Y139" i="4" s="1"/>
  <c r="AH139" i="4" s="1"/>
  <c r="P139" i="4"/>
  <c r="Z139" i="4" s="1"/>
  <c r="Q139" i="4"/>
  <c r="AA139" i="4" s="1"/>
  <c r="K140" i="4"/>
  <c r="U140" i="4" s="1"/>
  <c r="AD140" i="4" s="1"/>
  <c r="L140" i="4"/>
  <c r="V140" i="4" s="1"/>
  <c r="AE140" i="4" s="1"/>
  <c r="M140" i="4"/>
  <c r="W140" i="4" s="1"/>
  <c r="AF140" i="4" s="1"/>
  <c r="N140" i="4"/>
  <c r="X140" i="4" s="1"/>
  <c r="AG140" i="4" s="1"/>
  <c r="O140" i="4"/>
  <c r="Y140" i="4" s="1"/>
  <c r="AH140" i="4" s="1"/>
  <c r="P140" i="4"/>
  <c r="Z140" i="4" s="1"/>
  <c r="Q140" i="4"/>
  <c r="AA140" i="4" s="1"/>
  <c r="K141" i="4"/>
  <c r="U141" i="4" s="1"/>
  <c r="AD141" i="4" s="1"/>
  <c r="L141" i="4"/>
  <c r="V141" i="4" s="1"/>
  <c r="AE141" i="4" s="1"/>
  <c r="M141" i="4"/>
  <c r="W141" i="4" s="1"/>
  <c r="AF141" i="4" s="1"/>
  <c r="N141" i="4"/>
  <c r="X141" i="4" s="1"/>
  <c r="AG141" i="4" s="1"/>
  <c r="O141" i="4"/>
  <c r="Y141" i="4" s="1"/>
  <c r="AH141" i="4" s="1"/>
  <c r="P141" i="4"/>
  <c r="Z141" i="4" s="1"/>
  <c r="Q141" i="4"/>
  <c r="AA141" i="4" s="1"/>
  <c r="K142" i="4"/>
  <c r="U142" i="4" s="1"/>
  <c r="AD142" i="4" s="1"/>
  <c r="L142" i="4"/>
  <c r="V142" i="4" s="1"/>
  <c r="AE142" i="4" s="1"/>
  <c r="M142" i="4"/>
  <c r="W142" i="4" s="1"/>
  <c r="AF142" i="4" s="1"/>
  <c r="N142" i="4"/>
  <c r="X142" i="4" s="1"/>
  <c r="AG142" i="4" s="1"/>
  <c r="O142" i="4"/>
  <c r="Y142" i="4" s="1"/>
  <c r="AH142" i="4" s="1"/>
  <c r="P142" i="4"/>
  <c r="Z142" i="4" s="1"/>
  <c r="Q142" i="4"/>
  <c r="AA142" i="4" s="1"/>
  <c r="K143" i="4"/>
  <c r="U143" i="4" s="1"/>
  <c r="AD143" i="4" s="1"/>
  <c r="L143" i="4"/>
  <c r="V143" i="4" s="1"/>
  <c r="AE143" i="4" s="1"/>
  <c r="M143" i="4"/>
  <c r="W143" i="4" s="1"/>
  <c r="AF143" i="4" s="1"/>
  <c r="N143" i="4"/>
  <c r="X143" i="4" s="1"/>
  <c r="AG143" i="4" s="1"/>
  <c r="O143" i="4"/>
  <c r="Y143" i="4" s="1"/>
  <c r="AH143" i="4" s="1"/>
  <c r="P143" i="4"/>
  <c r="Z143" i="4" s="1"/>
  <c r="Q143" i="4"/>
  <c r="AA143" i="4" s="1"/>
  <c r="K144" i="4"/>
  <c r="U144" i="4" s="1"/>
  <c r="AD144" i="4" s="1"/>
  <c r="L144" i="4"/>
  <c r="V144" i="4" s="1"/>
  <c r="AE144" i="4" s="1"/>
  <c r="M144" i="4"/>
  <c r="W144" i="4" s="1"/>
  <c r="AF144" i="4" s="1"/>
  <c r="N144" i="4"/>
  <c r="X144" i="4" s="1"/>
  <c r="AG144" i="4" s="1"/>
  <c r="O144" i="4"/>
  <c r="Y144" i="4" s="1"/>
  <c r="AH144" i="4" s="1"/>
  <c r="P144" i="4"/>
  <c r="Z144" i="4" s="1"/>
  <c r="Q144" i="4"/>
  <c r="AA144" i="4" s="1"/>
  <c r="K145" i="4"/>
  <c r="U145" i="4" s="1"/>
  <c r="AD145" i="4" s="1"/>
  <c r="L145" i="4"/>
  <c r="V145" i="4" s="1"/>
  <c r="AE145" i="4" s="1"/>
  <c r="M145" i="4"/>
  <c r="W145" i="4" s="1"/>
  <c r="AF145" i="4" s="1"/>
  <c r="N145" i="4"/>
  <c r="X145" i="4" s="1"/>
  <c r="AG145" i="4" s="1"/>
  <c r="O145" i="4"/>
  <c r="Y145" i="4" s="1"/>
  <c r="AH145" i="4" s="1"/>
  <c r="P145" i="4"/>
  <c r="Z145" i="4" s="1"/>
  <c r="Q145" i="4"/>
  <c r="AA145" i="4" s="1"/>
  <c r="K146" i="4"/>
  <c r="U146" i="4" s="1"/>
  <c r="AD146" i="4" s="1"/>
  <c r="L146" i="4"/>
  <c r="V146" i="4" s="1"/>
  <c r="AE146" i="4" s="1"/>
  <c r="M146" i="4"/>
  <c r="W146" i="4" s="1"/>
  <c r="AF146" i="4" s="1"/>
  <c r="N146" i="4"/>
  <c r="X146" i="4" s="1"/>
  <c r="AG146" i="4" s="1"/>
  <c r="O146" i="4"/>
  <c r="Y146" i="4" s="1"/>
  <c r="AH146" i="4" s="1"/>
  <c r="P146" i="4"/>
  <c r="Z146" i="4" s="1"/>
  <c r="Q146" i="4"/>
  <c r="AA146" i="4" s="1"/>
  <c r="K147" i="4"/>
  <c r="U147" i="4" s="1"/>
  <c r="AD147" i="4" s="1"/>
  <c r="L147" i="4"/>
  <c r="V147" i="4" s="1"/>
  <c r="AE147" i="4" s="1"/>
  <c r="M147" i="4"/>
  <c r="W147" i="4" s="1"/>
  <c r="AF147" i="4" s="1"/>
  <c r="N147" i="4"/>
  <c r="X147" i="4" s="1"/>
  <c r="AG147" i="4" s="1"/>
  <c r="O147" i="4"/>
  <c r="Y147" i="4" s="1"/>
  <c r="AH147" i="4" s="1"/>
  <c r="P147" i="4"/>
  <c r="Z147" i="4" s="1"/>
  <c r="Q147" i="4"/>
  <c r="AA147" i="4" s="1"/>
  <c r="K148" i="4"/>
  <c r="U148" i="4" s="1"/>
  <c r="AD148" i="4" s="1"/>
  <c r="L148" i="4"/>
  <c r="V148" i="4" s="1"/>
  <c r="AE148" i="4" s="1"/>
  <c r="M148" i="4"/>
  <c r="W148" i="4" s="1"/>
  <c r="AF148" i="4" s="1"/>
  <c r="N148" i="4"/>
  <c r="X148" i="4" s="1"/>
  <c r="AG148" i="4" s="1"/>
  <c r="O148" i="4"/>
  <c r="Y148" i="4" s="1"/>
  <c r="AH148" i="4" s="1"/>
  <c r="P148" i="4"/>
  <c r="Z148" i="4" s="1"/>
  <c r="Q148" i="4"/>
  <c r="AA148" i="4" s="1"/>
  <c r="K149" i="4"/>
  <c r="U149" i="4" s="1"/>
  <c r="AD149" i="4" s="1"/>
  <c r="L149" i="4"/>
  <c r="V149" i="4" s="1"/>
  <c r="AE149" i="4" s="1"/>
  <c r="M149" i="4"/>
  <c r="W149" i="4" s="1"/>
  <c r="AF149" i="4" s="1"/>
  <c r="N149" i="4"/>
  <c r="X149" i="4" s="1"/>
  <c r="AG149" i="4" s="1"/>
  <c r="O149" i="4"/>
  <c r="Y149" i="4" s="1"/>
  <c r="AH149" i="4" s="1"/>
  <c r="P149" i="4"/>
  <c r="Z149" i="4" s="1"/>
  <c r="Q149" i="4"/>
  <c r="AA149" i="4" s="1"/>
  <c r="K150" i="4"/>
  <c r="U150" i="4" s="1"/>
  <c r="AD150" i="4" s="1"/>
  <c r="L150" i="4"/>
  <c r="V150" i="4" s="1"/>
  <c r="AE150" i="4" s="1"/>
  <c r="M150" i="4"/>
  <c r="W150" i="4" s="1"/>
  <c r="AF150" i="4" s="1"/>
  <c r="N150" i="4"/>
  <c r="X150" i="4" s="1"/>
  <c r="AG150" i="4" s="1"/>
  <c r="O150" i="4"/>
  <c r="Y150" i="4" s="1"/>
  <c r="AH150" i="4" s="1"/>
  <c r="P150" i="4"/>
  <c r="Z150" i="4" s="1"/>
  <c r="Q150" i="4"/>
  <c r="AA150" i="4" s="1"/>
  <c r="K151" i="4"/>
  <c r="U151" i="4" s="1"/>
  <c r="AD151" i="4" s="1"/>
  <c r="L151" i="4"/>
  <c r="V151" i="4" s="1"/>
  <c r="AE151" i="4" s="1"/>
  <c r="M151" i="4"/>
  <c r="W151" i="4" s="1"/>
  <c r="AF151" i="4" s="1"/>
  <c r="N151" i="4"/>
  <c r="X151" i="4" s="1"/>
  <c r="AG151" i="4" s="1"/>
  <c r="O151" i="4"/>
  <c r="Y151" i="4" s="1"/>
  <c r="AH151" i="4" s="1"/>
  <c r="P151" i="4"/>
  <c r="Z151" i="4" s="1"/>
  <c r="Q151" i="4"/>
  <c r="AA151" i="4" s="1"/>
  <c r="K152" i="4"/>
  <c r="U152" i="4" s="1"/>
  <c r="AD152" i="4" s="1"/>
  <c r="L152" i="4"/>
  <c r="V152" i="4" s="1"/>
  <c r="AE152" i="4" s="1"/>
  <c r="M152" i="4"/>
  <c r="W152" i="4" s="1"/>
  <c r="AF152" i="4" s="1"/>
  <c r="N152" i="4"/>
  <c r="X152" i="4" s="1"/>
  <c r="AG152" i="4" s="1"/>
  <c r="O152" i="4"/>
  <c r="Y152" i="4" s="1"/>
  <c r="AH152" i="4" s="1"/>
  <c r="P152" i="4"/>
  <c r="Z152" i="4" s="1"/>
  <c r="Q152" i="4"/>
  <c r="AA152" i="4" s="1"/>
  <c r="K153" i="4"/>
  <c r="U153" i="4" s="1"/>
  <c r="AD153" i="4" s="1"/>
  <c r="L153" i="4"/>
  <c r="V153" i="4" s="1"/>
  <c r="AE153" i="4" s="1"/>
  <c r="M153" i="4"/>
  <c r="W153" i="4" s="1"/>
  <c r="AF153" i="4" s="1"/>
  <c r="N153" i="4"/>
  <c r="X153" i="4" s="1"/>
  <c r="AG153" i="4" s="1"/>
  <c r="O153" i="4"/>
  <c r="Y153" i="4" s="1"/>
  <c r="AH153" i="4" s="1"/>
  <c r="P153" i="4"/>
  <c r="Z153" i="4" s="1"/>
  <c r="Q153" i="4"/>
  <c r="AA153" i="4" s="1"/>
  <c r="K154" i="4"/>
  <c r="U154" i="4" s="1"/>
  <c r="AD154" i="4" s="1"/>
  <c r="L154" i="4"/>
  <c r="V154" i="4" s="1"/>
  <c r="AE154" i="4" s="1"/>
  <c r="M154" i="4"/>
  <c r="W154" i="4" s="1"/>
  <c r="AF154" i="4" s="1"/>
  <c r="N154" i="4"/>
  <c r="X154" i="4" s="1"/>
  <c r="AG154" i="4" s="1"/>
  <c r="O154" i="4"/>
  <c r="Y154" i="4" s="1"/>
  <c r="AH154" i="4" s="1"/>
  <c r="P154" i="4"/>
  <c r="Z154" i="4" s="1"/>
  <c r="Q154" i="4"/>
  <c r="AA154" i="4" s="1"/>
  <c r="K155" i="4"/>
  <c r="U155" i="4" s="1"/>
  <c r="AD155" i="4" s="1"/>
  <c r="L155" i="4"/>
  <c r="V155" i="4" s="1"/>
  <c r="AE155" i="4" s="1"/>
  <c r="M155" i="4"/>
  <c r="W155" i="4" s="1"/>
  <c r="AF155" i="4" s="1"/>
  <c r="N155" i="4"/>
  <c r="X155" i="4" s="1"/>
  <c r="AG155" i="4" s="1"/>
  <c r="O155" i="4"/>
  <c r="Y155" i="4" s="1"/>
  <c r="AH155" i="4" s="1"/>
  <c r="P155" i="4"/>
  <c r="Z155" i="4" s="1"/>
  <c r="Q155" i="4"/>
  <c r="AA155" i="4" s="1"/>
  <c r="K156" i="4"/>
  <c r="U156" i="4" s="1"/>
  <c r="AD156" i="4" s="1"/>
  <c r="L156" i="4"/>
  <c r="V156" i="4" s="1"/>
  <c r="AE156" i="4" s="1"/>
  <c r="M156" i="4"/>
  <c r="W156" i="4" s="1"/>
  <c r="AF156" i="4" s="1"/>
  <c r="N156" i="4"/>
  <c r="X156" i="4" s="1"/>
  <c r="AG156" i="4" s="1"/>
  <c r="O156" i="4"/>
  <c r="Y156" i="4" s="1"/>
  <c r="AH156" i="4" s="1"/>
  <c r="P156" i="4"/>
  <c r="Z156" i="4" s="1"/>
  <c r="Q156" i="4"/>
  <c r="AA156" i="4" s="1"/>
  <c r="K157" i="4"/>
  <c r="U157" i="4" s="1"/>
  <c r="AD157" i="4" s="1"/>
  <c r="L157" i="4"/>
  <c r="V157" i="4" s="1"/>
  <c r="AE157" i="4" s="1"/>
  <c r="M157" i="4"/>
  <c r="W157" i="4" s="1"/>
  <c r="AF157" i="4" s="1"/>
  <c r="N157" i="4"/>
  <c r="X157" i="4" s="1"/>
  <c r="AG157" i="4" s="1"/>
  <c r="O157" i="4"/>
  <c r="Y157" i="4" s="1"/>
  <c r="AH157" i="4" s="1"/>
  <c r="P157" i="4"/>
  <c r="Z157" i="4" s="1"/>
  <c r="Q157" i="4"/>
  <c r="AA157" i="4" s="1"/>
  <c r="K158" i="4"/>
  <c r="U158" i="4" s="1"/>
  <c r="AD158" i="4" s="1"/>
  <c r="L158" i="4"/>
  <c r="V158" i="4" s="1"/>
  <c r="AE158" i="4" s="1"/>
  <c r="M158" i="4"/>
  <c r="W158" i="4" s="1"/>
  <c r="AF158" i="4" s="1"/>
  <c r="N158" i="4"/>
  <c r="X158" i="4" s="1"/>
  <c r="AG158" i="4" s="1"/>
  <c r="O158" i="4"/>
  <c r="Y158" i="4" s="1"/>
  <c r="AH158" i="4" s="1"/>
  <c r="P158" i="4"/>
  <c r="Z158" i="4" s="1"/>
  <c r="Q158" i="4"/>
  <c r="AA158" i="4" s="1"/>
  <c r="K159" i="4"/>
  <c r="U159" i="4" s="1"/>
  <c r="AD159" i="4" s="1"/>
  <c r="L159" i="4"/>
  <c r="V159" i="4" s="1"/>
  <c r="AE159" i="4" s="1"/>
  <c r="M159" i="4"/>
  <c r="W159" i="4" s="1"/>
  <c r="AF159" i="4" s="1"/>
  <c r="N159" i="4"/>
  <c r="X159" i="4" s="1"/>
  <c r="AG159" i="4" s="1"/>
  <c r="O159" i="4"/>
  <c r="Y159" i="4" s="1"/>
  <c r="AH159" i="4" s="1"/>
  <c r="P159" i="4"/>
  <c r="Z159" i="4" s="1"/>
  <c r="Q159" i="4"/>
  <c r="AA159" i="4" s="1"/>
  <c r="K160" i="4"/>
  <c r="U160" i="4" s="1"/>
  <c r="AD160" i="4" s="1"/>
  <c r="L160" i="4"/>
  <c r="V160" i="4" s="1"/>
  <c r="AE160" i="4" s="1"/>
  <c r="M160" i="4"/>
  <c r="W160" i="4" s="1"/>
  <c r="AF160" i="4" s="1"/>
  <c r="N160" i="4"/>
  <c r="X160" i="4" s="1"/>
  <c r="AG160" i="4" s="1"/>
  <c r="O160" i="4"/>
  <c r="Y160" i="4" s="1"/>
  <c r="AH160" i="4" s="1"/>
  <c r="P160" i="4"/>
  <c r="Z160" i="4" s="1"/>
  <c r="Q160" i="4"/>
  <c r="AA160" i="4" s="1"/>
  <c r="K161" i="4"/>
  <c r="U161" i="4" s="1"/>
  <c r="AD161" i="4" s="1"/>
  <c r="L161" i="4"/>
  <c r="V161" i="4" s="1"/>
  <c r="AE161" i="4" s="1"/>
  <c r="M161" i="4"/>
  <c r="W161" i="4" s="1"/>
  <c r="AF161" i="4" s="1"/>
  <c r="N161" i="4"/>
  <c r="X161" i="4" s="1"/>
  <c r="AG161" i="4" s="1"/>
  <c r="O161" i="4"/>
  <c r="Y161" i="4" s="1"/>
  <c r="AH161" i="4" s="1"/>
  <c r="P161" i="4"/>
  <c r="Z161" i="4" s="1"/>
  <c r="Q161" i="4"/>
  <c r="AA161" i="4" s="1"/>
  <c r="K162" i="4"/>
  <c r="U162" i="4" s="1"/>
  <c r="AD162" i="4" s="1"/>
  <c r="L162" i="4"/>
  <c r="V162" i="4" s="1"/>
  <c r="AE162" i="4" s="1"/>
  <c r="M162" i="4"/>
  <c r="W162" i="4" s="1"/>
  <c r="AF162" i="4" s="1"/>
  <c r="N162" i="4"/>
  <c r="X162" i="4" s="1"/>
  <c r="AG162" i="4" s="1"/>
  <c r="O162" i="4"/>
  <c r="Y162" i="4" s="1"/>
  <c r="AH162" i="4" s="1"/>
  <c r="P162" i="4"/>
  <c r="Z162" i="4" s="1"/>
  <c r="Q162" i="4"/>
  <c r="AA162" i="4" s="1"/>
  <c r="K163" i="4"/>
  <c r="U163" i="4" s="1"/>
  <c r="AD163" i="4" s="1"/>
  <c r="L163" i="4"/>
  <c r="V163" i="4" s="1"/>
  <c r="AE163" i="4" s="1"/>
  <c r="M163" i="4"/>
  <c r="W163" i="4" s="1"/>
  <c r="AF163" i="4" s="1"/>
  <c r="N163" i="4"/>
  <c r="X163" i="4" s="1"/>
  <c r="AG163" i="4" s="1"/>
  <c r="O163" i="4"/>
  <c r="Y163" i="4" s="1"/>
  <c r="AH163" i="4" s="1"/>
  <c r="P163" i="4"/>
  <c r="Z163" i="4" s="1"/>
  <c r="Q163" i="4"/>
  <c r="AA163" i="4" s="1"/>
  <c r="K164" i="4"/>
  <c r="U164" i="4" s="1"/>
  <c r="AD164" i="4" s="1"/>
  <c r="L164" i="4"/>
  <c r="V164" i="4" s="1"/>
  <c r="AE164" i="4" s="1"/>
  <c r="M164" i="4"/>
  <c r="W164" i="4" s="1"/>
  <c r="AF164" i="4" s="1"/>
  <c r="N164" i="4"/>
  <c r="X164" i="4" s="1"/>
  <c r="AG164" i="4" s="1"/>
  <c r="O164" i="4"/>
  <c r="Y164" i="4" s="1"/>
  <c r="AH164" i="4" s="1"/>
  <c r="P164" i="4"/>
  <c r="Z164" i="4" s="1"/>
  <c r="Q164" i="4"/>
  <c r="AA164" i="4" s="1"/>
  <c r="K165" i="4"/>
  <c r="U165" i="4" s="1"/>
  <c r="AD165" i="4" s="1"/>
  <c r="L165" i="4"/>
  <c r="V165" i="4" s="1"/>
  <c r="AE165" i="4" s="1"/>
  <c r="M165" i="4"/>
  <c r="W165" i="4" s="1"/>
  <c r="AF165" i="4" s="1"/>
  <c r="N165" i="4"/>
  <c r="X165" i="4" s="1"/>
  <c r="AG165" i="4" s="1"/>
  <c r="O165" i="4"/>
  <c r="Y165" i="4" s="1"/>
  <c r="AH165" i="4" s="1"/>
  <c r="P165" i="4"/>
  <c r="Z165" i="4" s="1"/>
  <c r="Q165" i="4"/>
  <c r="AA165" i="4" s="1"/>
  <c r="K166" i="4"/>
  <c r="U166" i="4" s="1"/>
  <c r="AD166" i="4" s="1"/>
  <c r="L166" i="4"/>
  <c r="V166" i="4" s="1"/>
  <c r="AE166" i="4" s="1"/>
  <c r="M166" i="4"/>
  <c r="W166" i="4" s="1"/>
  <c r="AF166" i="4" s="1"/>
  <c r="N166" i="4"/>
  <c r="X166" i="4" s="1"/>
  <c r="AG166" i="4" s="1"/>
  <c r="O166" i="4"/>
  <c r="Y166" i="4" s="1"/>
  <c r="AH166" i="4" s="1"/>
  <c r="P166" i="4"/>
  <c r="Z166" i="4" s="1"/>
  <c r="Q166" i="4"/>
  <c r="AA166" i="4" s="1"/>
  <c r="K167" i="4"/>
  <c r="U167" i="4" s="1"/>
  <c r="AD167" i="4" s="1"/>
  <c r="L167" i="4"/>
  <c r="V167" i="4" s="1"/>
  <c r="AE167" i="4" s="1"/>
  <c r="M167" i="4"/>
  <c r="W167" i="4" s="1"/>
  <c r="AF167" i="4" s="1"/>
  <c r="N167" i="4"/>
  <c r="X167" i="4" s="1"/>
  <c r="AG167" i="4" s="1"/>
  <c r="O167" i="4"/>
  <c r="Y167" i="4" s="1"/>
  <c r="AH167" i="4" s="1"/>
  <c r="P167" i="4"/>
  <c r="Z167" i="4" s="1"/>
  <c r="Q167" i="4"/>
  <c r="AA167" i="4" s="1"/>
  <c r="K168" i="4"/>
  <c r="U168" i="4" s="1"/>
  <c r="AD168" i="4" s="1"/>
  <c r="L168" i="4"/>
  <c r="V168" i="4" s="1"/>
  <c r="AE168" i="4" s="1"/>
  <c r="M168" i="4"/>
  <c r="W168" i="4" s="1"/>
  <c r="AF168" i="4" s="1"/>
  <c r="N168" i="4"/>
  <c r="X168" i="4" s="1"/>
  <c r="AG168" i="4" s="1"/>
  <c r="O168" i="4"/>
  <c r="Y168" i="4" s="1"/>
  <c r="AH168" i="4" s="1"/>
  <c r="P168" i="4"/>
  <c r="Z168" i="4" s="1"/>
  <c r="Q168" i="4"/>
  <c r="AA168" i="4" s="1"/>
  <c r="K169" i="4"/>
  <c r="U169" i="4" s="1"/>
  <c r="AD169" i="4" s="1"/>
  <c r="L169" i="4"/>
  <c r="V169" i="4" s="1"/>
  <c r="AE169" i="4" s="1"/>
  <c r="M169" i="4"/>
  <c r="W169" i="4" s="1"/>
  <c r="AF169" i="4" s="1"/>
  <c r="N169" i="4"/>
  <c r="X169" i="4" s="1"/>
  <c r="AG169" i="4" s="1"/>
  <c r="O169" i="4"/>
  <c r="Y169" i="4" s="1"/>
  <c r="AH169" i="4" s="1"/>
  <c r="P169" i="4"/>
  <c r="Z169" i="4" s="1"/>
  <c r="Q169" i="4"/>
  <c r="AA169" i="4" s="1"/>
  <c r="K170" i="4"/>
  <c r="U170" i="4" s="1"/>
  <c r="AD170" i="4" s="1"/>
  <c r="L170" i="4"/>
  <c r="V170" i="4" s="1"/>
  <c r="AE170" i="4" s="1"/>
  <c r="M170" i="4"/>
  <c r="W170" i="4" s="1"/>
  <c r="AF170" i="4" s="1"/>
  <c r="N170" i="4"/>
  <c r="X170" i="4" s="1"/>
  <c r="AG170" i="4" s="1"/>
  <c r="O170" i="4"/>
  <c r="Y170" i="4" s="1"/>
  <c r="AH170" i="4" s="1"/>
  <c r="P170" i="4"/>
  <c r="Z170" i="4" s="1"/>
  <c r="Q170" i="4"/>
  <c r="AA170" i="4" s="1"/>
  <c r="K171" i="4"/>
  <c r="U171" i="4" s="1"/>
  <c r="AD171" i="4" s="1"/>
  <c r="L171" i="4"/>
  <c r="V171" i="4" s="1"/>
  <c r="AE171" i="4" s="1"/>
  <c r="M171" i="4"/>
  <c r="W171" i="4" s="1"/>
  <c r="AF171" i="4" s="1"/>
  <c r="N171" i="4"/>
  <c r="X171" i="4" s="1"/>
  <c r="AG171" i="4" s="1"/>
  <c r="O171" i="4"/>
  <c r="Y171" i="4" s="1"/>
  <c r="AH171" i="4" s="1"/>
  <c r="P171" i="4"/>
  <c r="Z171" i="4" s="1"/>
  <c r="Q171" i="4"/>
  <c r="AA171" i="4" s="1"/>
  <c r="K172" i="4"/>
  <c r="U172" i="4" s="1"/>
  <c r="AD172" i="4" s="1"/>
  <c r="L172" i="4"/>
  <c r="V172" i="4" s="1"/>
  <c r="AE172" i="4" s="1"/>
  <c r="M172" i="4"/>
  <c r="W172" i="4" s="1"/>
  <c r="AF172" i="4" s="1"/>
  <c r="N172" i="4"/>
  <c r="X172" i="4" s="1"/>
  <c r="AG172" i="4" s="1"/>
  <c r="O172" i="4"/>
  <c r="Y172" i="4" s="1"/>
  <c r="AH172" i="4" s="1"/>
  <c r="P172" i="4"/>
  <c r="Z172" i="4" s="1"/>
  <c r="Q172" i="4"/>
  <c r="AA172" i="4" s="1"/>
  <c r="K173" i="4"/>
  <c r="U173" i="4" s="1"/>
  <c r="AD173" i="4" s="1"/>
  <c r="L173" i="4"/>
  <c r="V173" i="4" s="1"/>
  <c r="AE173" i="4" s="1"/>
  <c r="M173" i="4"/>
  <c r="W173" i="4" s="1"/>
  <c r="AF173" i="4" s="1"/>
  <c r="N173" i="4"/>
  <c r="X173" i="4" s="1"/>
  <c r="AG173" i="4" s="1"/>
  <c r="O173" i="4"/>
  <c r="Y173" i="4" s="1"/>
  <c r="AH173" i="4" s="1"/>
  <c r="P173" i="4"/>
  <c r="Z173" i="4" s="1"/>
  <c r="Q173" i="4"/>
  <c r="AA173" i="4" s="1"/>
  <c r="K174" i="4"/>
  <c r="U174" i="4" s="1"/>
  <c r="AD174" i="4" s="1"/>
  <c r="L174" i="4"/>
  <c r="V174" i="4" s="1"/>
  <c r="AE174" i="4" s="1"/>
  <c r="M174" i="4"/>
  <c r="W174" i="4" s="1"/>
  <c r="AF174" i="4" s="1"/>
  <c r="N174" i="4"/>
  <c r="X174" i="4" s="1"/>
  <c r="AG174" i="4" s="1"/>
  <c r="O174" i="4"/>
  <c r="Y174" i="4" s="1"/>
  <c r="AH174" i="4" s="1"/>
  <c r="P174" i="4"/>
  <c r="Z174" i="4" s="1"/>
  <c r="Q174" i="4"/>
  <c r="AA174" i="4" s="1"/>
  <c r="K175" i="4"/>
  <c r="U175" i="4" s="1"/>
  <c r="AD175" i="4" s="1"/>
  <c r="L175" i="4"/>
  <c r="V175" i="4" s="1"/>
  <c r="AE175" i="4" s="1"/>
  <c r="M175" i="4"/>
  <c r="W175" i="4" s="1"/>
  <c r="AF175" i="4" s="1"/>
  <c r="N175" i="4"/>
  <c r="X175" i="4" s="1"/>
  <c r="AG175" i="4" s="1"/>
  <c r="O175" i="4"/>
  <c r="Y175" i="4" s="1"/>
  <c r="AH175" i="4" s="1"/>
  <c r="P175" i="4"/>
  <c r="Z175" i="4" s="1"/>
  <c r="Q175" i="4"/>
  <c r="AA175" i="4" s="1"/>
  <c r="K176" i="4"/>
  <c r="U176" i="4" s="1"/>
  <c r="AD176" i="4" s="1"/>
  <c r="L176" i="4"/>
  <c r="V176" i="4" s="1"/>
  <c r="AE176" i="4" s="1"/>
  <c r="M176" i="4"/>
  <c r="W176" i="4" s="1"/>
  <c r="AF176" i="4" s="1"/>
  <c r="N176" i="4"/>
  <c r="X176" i="4" s="1"/>
  <c r="AG176" i="4" s="1"/>
  <c r="O176" i="4"/>
  <c r="Y176" i="4" s="1"/>
  <c r="AH176" i="4" s="1"/>
  <c r="P176" i="4"/>
  <c r="Z176" i="4" s="1"/>
  <c r="Q176" i="4"/>
  <c r="AA176" i="4" s="1"/>
  <c r="K177" i="4"/>
  <c r="U177" i="4" s="1"/>
  <c r="AD177" i="4" s="1"/>
  <c r="L177" i="4"/>
  <c r="V177" i="4" s="1"/>
  <c r="AE177" i="4" s="1"/>
  <c r="M177" i="4"/>
  <c r="W177" i="4" s="1"/>
  <c r="AF177" i="4" s="1"/>
  <c r="N177" i="4"/>
  <c r="X177" i="4" s="1"/>
  <c r="AG177" i="4" s="1"/>
  <c r="O177" i="4"/>
  <c r="Y177" i="4" s="1"/>
  <c r="AH177" i="4" s="1"/>
  <c r="P177" i="4"/>
  <c r="Z177" i="4" s="1"/>
  <c r="Q177" i="4"/>
  <c r="AA177" i="4" s="1"/>
  <c r="K178" i="4"/>
  <c r="U178" i="4" s="1"/>
  <c r="AD178" i="4" s="1"/>
  <c r="L178" i="4"/>
  <c r="V178" i="4" s="1"/>
  <c r="AE178" i="4" s="1"/>
  <c r="M178" i="4"/>
  <c r="W178" i="4" s="1"/>
  <c r="AF178" i="4" s="1"/>
  <c r="N178" i="4"/>
  <c r="X178" i="4" s="1"/>
  <c r="AG178" i="4" s="1"/>
  <c r="O178" i="4"/>
  <c r="Y178" i="4" s="1"/>
  <c r="AH178" i="4" s="1"/>
  <c r="P178" i="4"/>
  <c r="Z178" i="4" s="1"/>
  <c r="Q178" i="4"/>
  <c r="AA178" i="4" s="1"/>
  <c r="K179" i="4"/>
  <c r="U179" i="4" s="1"/>
  <c r="AD179" i="4" s="1"/>
  <c r="L179" i="4"/>
  <c r="V179" i="4" s="1"/>
  <c r="AE179" i="4" s="1"/>
  <c r="M179" i="4"/>
  <c r="W179" i="4" s="1"/>
  <c r="AF179" i="4" s="1"/>
  <c r="N179" i="4"/>
  <c r="X179" i="4" s="1"/>
  <c r="AG179" i="4" s="1"/>
  <c r="O179" i="4"/>
  <c r="Y179" i="4" s="1"/>
  <c r="AH179" i="4" s="1"/>
  <c r="P179" i="4"/>
  <c r="Z179" i="4" s="1"/>
  <c r="Q179" i="4"/>
  <c r="AA179" i="4" s="1"/>
  <c r="K180" i="4"/>
  <c r="U180" i="4" s="1"/>
  <c r="AD180" i="4" s="1"/>
  <c r="L180" i="4"/>
  <c r="V180" i="4" s="1"/>
  <c r="AE180" i="4" s="1"/>
  <c r="M180" i="4"/>
  <c r="W180" i="4" s="1"/>
  <c r="AF180" i="4" s="1"/>
  <c r="N180" i="4"/>
  <c r="X180" i="4" s="1"/>
  <c r="AG180" i="4" s="1"/>
  <c r="O180" i="4"/>
  <c r="Y180" i="4" s="1"/>
  <c r="AH180" i="4" s="1"/>
  <c r="P180" i="4"/>
  <c r="Z180" i="4" s="1"/>
  <c r="Q180" i="4"/>
  <c r="AA180" i="4" s="1"/>
  <c r="K181" i="4"/>
  <c r="U181" i="4" s="1"/>
  <c r="AD181" i="4" s="1"/>
  <c r="L181" i="4"/>
  <c r="V181" i="4" s="1"/>
  <c r="AE181" i="4" s="1"/>
  <c r="M181" i="4"/>
  <c r="W181" i="4" s="1"/>
  <c r="AF181" i="4" s="1"/>
  <c r="N181" i="4"/>
  <c r="X181" i="4" s="1"/>
  <c r="AG181" i="4" s="1"/>
  <c r="O181" i="4"/>
  <c r="Y181" i="4" s="1"/>
  <c r="AH181" i="4" s="1"/>
  <c r="P181" i="4"/>
  <c r="Z181" i="4" s="1"/>
  <c r="Q181" i="4"/>
  <c r="AA181" i="4" s="1"/>
  <c r="K182" i="4"/>
  <c r="U182" i="4" s="1"/>
  <c r="AD182" i="4" s="1"/>
  <c r="L182" i="4"/>
  <c r="V182" i="4" s="1"/>
  <c r="AE182" i="4" s="1"/>
  <c r="M182" i="4"/>
  <c r="W182" i="4" s="1"/>
  <c r="AF182" i="4" s="1"/>
  <c r="N182" i="4"/>
  <c r="X182" i="4" s="1"/>
  <c r="AG182" i="4" s="1"/>
  <c r="O182" i="4"/>
  <c r="Y182" i="4" s="1"/>
  <c r="AH182" i="4" s="1"/>
  <c r="P182" i="4"/>
  <c r="Z182" i="4" s="1"/>
  <c r="Q182" i="4"/>
  <c r="AA182" i="4" s="1"/>
  <c r="K183" i="4"/>
  <c r="U183" i="4" s="1"/>
  <c r="AD183" i="4" s="1"/>
  <c r="L183" i="4"/>
  <c r="V183" i="4" s="1"/>
  <c r="AE183" i="4" s="1"/>
  <c r="M183" i="4"/>
  <c r="W183" i="4" s="1"/>
  <c r="AF183" i="4" s="1"/>
  <c r="N183" i="4"/>
  <c r="X183" i="4" s="1"/>
  <c r="AG183" i="4" s="1"/>
  <c r="O183" i="4"/>
  <c r="Y183" i="4" s="1"/>
  <c r="AH183" i="4" s="1"/>
  <c r="P183" i="4"/>
  <c r="Z183" i="4" s="1"/>
  <c r="Q183" i="4"/>
  <c r="AA183" i="4" s="1"/>
  <c r="K184" i="4"/>
  <c r="U184" i="4" s="1"/>
  <c r="AD184" i="4" s="1"/>
  <c r="L184" i="4"/>
  <c r="V184" i="4" s="1"/>
  <c r="AE184" i="4" s="1"/>
  <c r="M184" i="4"/>
  <c r="W184" i="4" s="1"/>
  <c r="AF184" i="4" s="1"/>
  <c r="N184" i="4"/>
  <c r="X184" i="4" s="1"/>
  <c r="AG184" i="4" s="1"/>
  <c r="O184" i="4"/>
  <c r="Y184" i="4" s="1"/>
  <c r="AH184" i="4" s="1"/>
  <c r="P184" i="4"/>
  <c r="Z184" i="4" s="1"/>
  <c r="Q184" i="4"/>
  <c r="AA184" i="4" s="1"/>
  <c r="K185" i="4"/>
  <c r="U185" i="4" s="1"/>
  <c r="AD185" i="4" s="1"/>
  <c r="L185" i="4"/>
  <c r="V185" i="4" s="1"/>
  <c r="AE185" i="4" s="1"/>
  <c r="M185" i="4"/>
  <c r="W185" i="4" s="1"/>
  <c r="AF185" i="4" s="1"/>
  <c r="N185" i="4"/>
  <c r="X185" i="4" s="1"/>
  <c r="AG185" i="4" s="1"/>
  <c r="O185" i="4"/>
  <c r="Y185" i="4" s="1"/>
  <c r="AH185" i="4" s="1"/>
  <c r="P185" i="4"/>
  <c r="Z185" i="4" s="1"/>
  <c r="Q185" i="4"/>
  <c r="AA185" i="4" s="1"/>
  <c r="K186" i="4"/>
  <c r="U186" i="4" s="1"/>
  <c r="AD186" i="4" s="1"/>
  <c r="L186" i="4"/>
  <c r="V186" i="4" s="1"/>
  <c r="AE186" i="4" s="1"/>
  <c r="M186" i="4"/>
  <c r="W186" i="4" s="1"/>
  <c r="AF186" i="4" s="1"/>
  <c r="N186" i="4"/>
  <c r="X186" i="4" s="1"/>
  <c r="AG186" i="4" s="1"/>
  <c r="O186" i="4"/>
  <c r="Y186" i="4" s="1"/>
  <c r="AH186" i="4" s="1"/>
  <c r="P186" i="4"/>
  <c r="Z186" i="4" s="1"/>
  <c r="Q186" i="4"/>
  <c r="AA186" i="4" s="1"/>
  <c r="K187" i="4"/>
  <c r="U187" i="4" s="1"/>
  <c r="AD187" i="4" s="1"/>
  <c r="L187" i="4"/>
  <c r="V187" i="4" s="1"/>
  <c r="AE187" i="4" s="1"/>
  <c r="M187" i="4"/>
  <c r="W187" i="4" s="1"/>
  <c r="AF187" i="4" s="1"/>
  <c r="N187" i="4"/>
  <c r="X187" i="4" s="1"/>
  <c r="AG187" i="4" s="1"/>
  <c r="O187" i="4"/>
  <c r="Y187" i="4" s="1"/>
  <c r="AH187" i="4" s="1"/>
  <c r="P187" i="4"/>
  <c r="Z187" i="4" s="1"/>
  <c r="Q187" i="4"/>
  <c r="AA187" i="4" s="1"/>
  <c r="K188" i="4"/>
  <c r="U188" i="4" s="1"/>
  <c r="AD188" i="4" s="1"/>
  <c r="L188" i="4"/>
  <c r="V188" i="4" s="1"/>
  <c r="AE188" i="4" s="1"/>
  <c r="M188" i="4"/>
  <c r="W188" i="4" s="1"/>
  <c r="AF188" i="4" s="1"/>
  <c r="N188" i="4"/>
  <c r="X188" i="4" s="1"/>
  <c r="AG188" i="4" s="1"/>
  <c r="O188" i="4"/>
  <c r="Y188" i="4" s="1"/>
  <c r="AH188" i="4" s="1"/>
  <c r="P188" i="4"/>
  <c r="Z188" i="4" s="1"/>
  <c r="Q188" i="4"/>
  <c r="AA188" i="4" s="1"/>
  <c r="K189" i="4"/>
  <c r="U189" i="4" s="1"/>
  <c r="AD189" i="4" s="1"/>
  <c r="L189" i="4"/>
  <c r="V189" i="4" s="1"/>
  <c r="AE189" i="4" s="1"/>
  <c r="M189" i="4"/>
  <c r="W189" i="4" s="1"/>
  <c r="AF189" i="4" s="1"/>
  <c r="N189" i="4"/>
  <c r="X189" i="4" s="1"/>
  <c r="AG189" i="4" s="1"/>
  <c r="O189" i="4"/>
  <c r="Y189" i="4" s="1"/>
  <c r="AH189" i="4" s="1"/>
  <c r="P189" i="4"/>
  <c r="Z189" i="4" s="1"/>
  <c r="Q189" i="4"/>
  <c r="AA189" i="4" s="1"/>
  <c r="K190" i="4"/>
  <c r="U190" i="4" s="1"/>
  <c r="AD190" i="4" s="1"/>
  <c r="L190" i="4"/>
  <c r="V190" i="4" s="1"/>
  <c r="AE190" i="4" s="1"/>
  <c r="M190" i="4"/>
  <c r="W190" i="4" s="1"/>
  <c r="AF190" i="4" s="1"/>
  <c r="N190" i="4"/>
  <c r="X190" i="4" s="1"/>
  <c r="AG190" i="4" s="1"/>
  <c r="O190" i="4"/>
  <c r="Y190" i="4" s="1"/>
  <c r="AH190" i="4" s="1"/>
  <c r="P190" i="4"/>
  <c r="Z190" i="4" s="1"/>
  <c r="Q190" i="4"/>
  <c r="AA190" i="4" s="1"/>
  <c r="K191" i="4"/>
  <c r="U191" i="4" s="1"/>
  <c r="AD191" i="4" s="1"/>
  <c r="L191" i="4"/>
  <c r="V191" i="4" s="1"/>
  <c r="AE191" i="4" s="1"/>
  <c r="M191" i="4"/>
  <c r="W191" i="4" s="1"/>
  <c r="AF191" i="4" s="1"/>
  <c r="N191" i="4"/>
  <c r="X191" i="4" s="1"/>
  <c r="AG191" i="4" s="1"/>
  <c r="O191" i="4"/>
  <c r="Y191" i="4" s="1"/>
  <c r="AH191" i="4" s="1"/>
  <c r="P191" i="4"/>
  <c r="Z191" i="4" s="1"/>
  <c r="Q191" i="4"/>
  <c r="AA191" i="4" s="1"/>
  <c r="K192" i="4"/>
  <c r="U192" i="4" s="1"/>
  <c r="AD192" i="4" s="1"/>
  <c r="L192" i="4"/>
  <c r="V192" i="4" s="1"/>
  <c r="AE192" i="4" s="1"/>
  <c r="M192" i="4"/>
  <c r="W192" i="4" s="1"/>
  <c r="AF192" i="4" s="1"/>
  <c r="N192" i="4"/>
  <c r="X192" i="4" s="1"/>
  <c r="AG192" i="4" s="1"/>
  <c r="O192" i="4"/>
  <c r="Y192" i="4" s="1"/>
  <c r="AH192" i="4" s="1"/>
  <c r="P192" i="4"/>
  <c r="Z192" i="4" s="1"/>
  <c r="Q192" i="4"/>
  <c r="AA192" i="4" s="1"/>
  <c r="K193" i="4"/>
  <c r="U193" i="4" s="1"/>
  <c r="AD193" i="4" s="1"/>
  <c r="L193" i="4"/>
  <c r="V193" i="4" s="1"/>
  <c r="AE193" i="4" s="1"/>
  <c r="M193" i="4"/>
  <c r="W193" i="4" s="1"/>
  <c r="AF193" i="4" s="1"/>
  <c r="N193" i="4"/>
  <c r="X193" i="4" s="1"/>
  <c r="AG193" i="4" s="1"/>
  <c r="O193" i="4"/>
  <c r="Y193" i="4" s="1"/>
  <c r="AH193" i="4" s="1"/>
  <c r="P193" i="4"/>
  <c r="Z193" i="4" s="1"/>
  <c r="Q193" i="4"/>
  <c r="AA193" i="4" s="1"/>
  <c r="K194" i="4"/>
  <c r="U194" i="4" s="1"/>
  <c r="AD194" i="4" s="1"/>
  <c r="L194" i="4"/>
  <c r="V194" i="4" s="1"/>
  <c r="AE194" i="4" s="1"/>
  <c r="M194" i="4"/>
  <c r="W194" i="4" s="1"/>
  <c r="AF194" i="4" s="1"/>
  <c r="N194" i="4"/>
  <c r="X194" i="4" s="1"/>
  <c r="AG194" i="4" s="1"/>
  <c r="O194" i="4"/>
  <c r="Y194" i="4" s="1"/>
  <c r="AH194" i="4" s="1"/>
  <c r="P194" i="4"/>
  <c r="Z194" i="4" s="1"/>
  <c r="Q194" i="4"/>
  <c r="AA194" i="4" s="1"/>
  <c r="K195" i="4"/>
  <c r="U195" i="4" s="1"/>
  <c r="AD195" i="4" s="1"/>
  <c r="L195" i="4"/>
  <c r="V195" i="4" s="1"/>
  <c r="AE195" i="4" s="1"/>
  <c r="M195" i="4"/>
  <c r="W195" i="4" s="1"/>
  <c r="AF195" i="4" s="1"/>
  <c r="N195" i="4"/>
  <c r="X195" i="4" s="1"/>
  <c r="AG195" i="4" s="1"/>
  <c r="O195" i="4"/>
  <c r="Y195" i="4" s="1"/>
  <c r="AH195" i="4" s="1"/>
  <c r="P195" i="4"/>
  <c r="Z195" i="4" s="1"/>
  <c r="Q195" i="4"/>
  <c r="AA195" i="4" s="1"/>
  <c r="K196" i="4"/>
  <c r="U196" i="4" s="1"/>
  <c r="AD196" i="4" s="1"/>
  <c r="L196" i="4"/>
  <c r="V196" i="4" s="1"/>
  <c r="AE196" i="4" s="1"/>
  <c r="M196" i="4"/>
  <c r="W196" i="4" s="1"/>
  <c r="AF196" i="4" s="1"/>
  <c r="N196" i="4"/>
  <c r="X196" i="4" s="1"/>
  <c r="AG196" i="4" s="1"/>
  <c r="O196" i="4"/>
  <c r="Y196" i="4" s="1"/>
  <c r="AH196" i="4" s="1"/>
  <c r="P196" i="4"/>
  <c r="Z196" i="4" s="1"/>
  <c r="Q196" i="4"/>
  <c r="AA196" i="4" s="1"/>
  <c r="K197" i="4"/>
  <c r="U197" i="4" s="1"/>
  <c r="AD197" i="4" s="1"/>
  <c r="L197" i="4"/>
  <c r="V197" i="4" s="1"/>
  <c r="AE197" i="4" s="1"/>
  <c r="M197" i="4"/>
  <c r="W197" i="4" s="1"/>
  <c r="AF197" i="4" s="1"/>
  <c r="N197" i="4"/>
  <c r="X197" i="4" s="1"/>
  <c r="AG197" i="4" s="1"/>
  <c r="O197" i="4"/>
  <c r="Y197" i="4" s="1"/>
  <c r="AH197" i="4" s="1"/>
  <c r="P197" i="4"/>
  <c r="Z197" i="4" s="1"/>
  <c r="Q197" i="4"/>
  <c r="AA197" i="4" s="1"/>
  <c r="K198" i="4"/>
  <c r="U198" i="4" s="1"/>
  <c r="AD198" i="4" s="1"/>
  <c r="L198" i="4"/>
  <c r="V198" i="4" s="1"/>
  <c r="AE198" i="4" s="1"/>
  <c r="M198" i="4"/>
  <c r="W198" i="4" s="1"/>
  <c r="AF198" i="4" s="1"/>
  <c r="N198" i="4"/>
  <c r="X198" i="4" s="1"/>
  <c r="AG198" i="4" s="1"/>
  <c r="O198" i="4"/>
  <c r="Y198" i="4" s="1"/>
  <c r="AH198" i="4" s="1"/>
  <c r="P198" i="4"/>
  <c r="Z198" i="4" s="1"/>
  <c r="Q198" i="4"/>
  <c r="AA198" i="4" s="1"/>
  <c r="K199" i="4"/>
  <c r="U199" i="4" s="1"/>
  <c r="AD199" i="4" s="1"/>
  <c r="L199" i="4"/>
  <c r="V199" i="4" s="1"/>
  <c r="AE199" i="4" s="1"/>
  <c r="M199" i="4"/>
  <c r="W199" i="4" s="1"/>
  <c r="AF199" i="4" s="1"/>
  <c r="N199" i="4"/>
  <c r="X199" i="4" s="1"/>
  <c r="AG199" i="4" s="1"/>
  <c r="O199" i="4"/>
  <c r="Y199" i="4" s="1"/>
  <c r="AH199" i="4" s="1"/>
  <c r="P199" i="4"/>
  <c r="Z199" i="4" s="1"/>
  <c r="Q199" i="4"/>
  <c r="AA199" i="4" s="1"/>
  <c r="K200" i="4"/>
  <c r="U200" i="4" s="1"/>
  <c r="AD200" i="4" s="1"/>
  <c r="L200" i="4"/>
  <c r="V200" i="4" s="1"/>
  <c r="AE200" i="4" s="1"/>
  <c r="M200" i="4"/>
  <c r="W200" i="4" s="1"/>
  <c r="AF200" i="4" s="1"/>
  <c r="N200" i="4"/>
  <c r="X200" i="4" s="1"/>
  <c r="AG200" i="4" s="1"/>
  <c r="O200" i="4"/>
  <c r="Y200" i="4" s="1"/>
  <c r="AH200" i="4" s="1"/>
  <c r="P200" i="4"/>
  <c r="Z200" i="4" s="1"/>
  <c r="Q200" i="4"/>
  <c r="AA200" i="4" s="1"/>
  <c r="K201" i="4"/>
  <c r="U201" i="4" s="1"/>
  <c r="AD201" i="4" s="1"/>
  <c r="L201" i="4"/>
  <c r="V201" i="4" s="1"/>
  <c r="AE201" i="4" s="1"/>
  <c r="M201" i="4"/>
  <c r="W201" i="4" s="1"/>
  <c r="AF201" i="4" s="1"/>
  <c r="N201" i="4"/>
  <c r="X201" i="4" s="1"/>
  <c r="AG201" i="4" s="1"/>
  <c r="O201" i="4"/>
  <c r="Y201" i="4" s="1"/>
  <c r="AH201" i="4" s="1"/>
  <c r="P201" i="4"/>
  <c r="Z201" i="4" s="1"/>
  <c r="Q201" i="4"/>
  <c r="AA201" i="4" s="1"/>
  <c r="K202" i="4"/>
  <c r="U202" i="4" s="1"/>
  <c r="AD202" i="4" s="1"/>
  <c r="L202" i="4"/>
  <c r="V202" i="4" s="1"/>
  <c r="AE202" i="4" s="1"/>
  <c r="M202" i="4"/>
  <c r="W202" i="4" s="1"/>
  <c r="AF202" i="4" s="1"/>
  <c r="N202" i="4"/>
  <c r="X202" i="4" s="1"/>
  <c r="AG202" i="4" s="1"/>
  <c r="O202" i="4"/>
  <c r="Y202" i="4" s="1"/>
  <c r="AH202" i="4" s="1"/>
  <c r="P202" i="4"/>
  <c r="Z202" i="4" s="1"/>
  <c r="Q202" i="4"/>
  <c r="AA202" i="4" s="1"/>
  <c r="K203" i="4"/>
  <c r="U203" i="4" s="1"/>
  <c r="AD203" i="4" s="1"/>
  <c r="L203" i="4"/>
  <c r="V203" i="4" s="1"/>
  <c r="AE203" i="4" s="1"/>
  <c r="M203" i="4"/>
  <c r="W203" i="4" s="1"/>
  <c r="AF203" i="4" s="1"/>
  <c r="N203" i="4"/>
  <c r="X203" i="4" s="1"/>
  <c r="AG203" i="4" s="1"/>
  <c r="O203" i="4"/>
  <c r="Y203" i="4" s="1"/>
  <c r="AH203" i="4" s="1"/>
  <c r="P203" i="4"/>
  <c r="Z203" i="4" s="1"/>
  <c r="Q203" i="4"/>
  <c r="AA203" i="4" s="1"/>
  <c r="K204" i="4"/>
  <c r="U204" i="4" s="1"/>
  <c r="AD204" i="4" s="1"/>
  <c r="L204" i="4"/>
  <c r="V204" i="4" s="1"/>
  <c r="AE204" i="4" s="1"/>
  <c r="M204" i="4"/>
  <c r="W204" i="4" s="1"/>
  <c r="AF204" i="4" s="1"/>
  <c r="N204" i="4"/>
  <c r="X204" i="4" s="1"/>
  <c r="AG204" i="4" s="1"/>
  <c r="O204" i="4"/>
  <c r="Y204" i="4" s="1"/>
  <c r="AH204" i="4" s="1"/>
  <c r="P204" i="4"/>
  <c r="Z204" i="4" s="1"/>
  <c r="Q204" i="4"/>
  <c r="AA204" i="4" s="1"/>
  <c r="K205" i="4"/>
  <c r="U205" i="4" s="1"/>
  <c r="AD205" i="4" s="1"/>
  <c r="L205" i="4"/>
  <c r="V205" i="4" s="1"/>
  <c r="AE205" i="4" s="1"/>
  <c r="M205" i="4"/>
  <c r="W205" i="4" s="1"/>
  <c r="AF205" i="4" s="1"/>
  <c r="N205" i="4"/>
  <c r="X205" i="4" s="1"/>
  <c r="AG205" i="4" s="1"/>
  <c r="O205" i="4"/>
  <c r="Y205" i="4" s="1"/>
  <c r="AH205" i="4" s="1"/>
  <c r="P205" i="4"/>
  <c r="Z205" i="4" s="1"/>
  <c r="Q205" i="4"/>
  <c r="AA205" i="4" s="1"/>
  <c r="K206" i="4"/>
  <c r="U206" i="4" s="1"/>
  <c r="AD206" i="4" s="1"/>
  <c r="L206" i="4"/>
  <c r="V206" i="4" s="1"/>
  <c r="AE206" i="4" s="1"/>
  <c r="M206" i="4"/>
  <c r="W206" i="4" s="1"/>
  <c r="AF206" i="4" s="1"/>
  <c r="N206" i="4"/>
  <c r="X206" i="4" s="1"/>
  <c r="AG206" i="4" s="1"/>
  <c r="O206" i="4"/>
  <c r="Y206" i="4" s="1"/>
  <c r="AH206" i="4" s="1"/>
  <c r="P206" i="4"/>
  <c r="Z206" i="4" s="1"/>
  <c r="Q206" i="4"/>
  <c r="AA206" i="4" s="1"/>
  <c r="K207" i="4"/>
  <c r="U207" i="4" s="1"/>
  <c r="AD207" i="4" s="1"/>
  <c r="L207" i="4"/>
  <c r="V207" i="4" s="1"/>
  <c r="AE207" i="4" s="1"/>
  <c r="M207" i="4"/>
  <c r="W207" i="4" s="1"/>
  <c r="AF207" i="4" s="1"/>
  <c r="N207" i="4"/>
  <c r="X207" i="4" s="1"/>
  <c r="AG207" i="4" s="1"/>
  <c r="O207" i="4"/>
  <c r="Y207" i="4" s="1"/>
  <c r="AH207" i="4" s="1"/>
  <c r="P207" i="4"/>
  <c r="Z207" i="4" s="1"/>
  <c r="Q207" i="4"/>
  <c r="AA207" i="4" s="1"/>
  <c r="K208" i="4"/>
  <c r="U208" i="4" s="1"/>
  <c r="AD208" i="4" s="1"/>
  <c r="L208" i="4"/>
  <c r="V208" i="4" s="1"/>
  <c r="AE208" i="4" s="1"/>
  <c r="M208" i="4"/>
  <c r="W208" i="4" s="1"/>
  <c r="AF208" i="4" s="1"/>
  <c r="N208" i="4"/>
  <c r="X208" i="4" s="1"/>
  <c r="AG208" i="4" s="1"/>
  <c r="O208" i="4"/>
  <c r="Y208" i="4" s="1"/>
  <c r="AH208" i="4" s="1"/>
  <c r="P208" i="4"/>
  <c r="Z208" i="4" s="1"/>
  <c r="Q208" i="4"/>
  <c r="AA208" i="4" s="1"/>
  <c r="K209" i="4"/>
  <c r="U209" i="4" s="1"/>
  <c r="AD209" i="4" s="1"/>
  <c r="L209" i="4"/>
  <c r="V209" i="4" s="1"/>
  <c r="AE209" i="4" s="1"/>
  <c r="M209" i="4"/>
  <c r="W209" i="4" s="1"/>
  <c r="AF209" i="4" s="1"/>
  <c r="N209" i="4"/>
  <c r="X209" i="4" s="1"/>
  <c r="AG209" i="4" s="1"/>
  <c r="O209" i="4"/>
  <c r="Y209" i="4" s="1"/>
  <c r="AH209" i="4" s="1"/>
  <c r="P209" i="4"/>
  <c r="Z209" i="4" s="1"/>
  <c r="Q209" i="4"/>
  <c r="AA209" i="4" s="1"/>
  <c r="K210" i="4"/>
  <c r="U210" i="4" s="1"/>
  <c r="AD210" i="4" s="1"/>
  <c r="L210" i="4"/>
  <c r="V210" i="4" s="1"/>
  <c r="AE210" i="4" s="1"/>
  <c r="M210" i="4"/>
  <c r="W210" i="4" s="1"/>
  <c r="AF210" i="4" s="1"/>
  <c r="N210" i="4"/>
  <c r="X210" i="4" s="1"/>
  <c r="AG210" i="4" s="1"/>
  <c r="O210" i="4"/>
  <c r="Y210" i="4" s="1"/>
  <c r="AH210" i="4" s="1"/>
  <c r="P210" i="4"/>
  <c r="Z210" i="4" s="1"/>
  <c r="Q210" i="4"/>
  <c r="AA210" i="4" s="1"/>
  <c r="K211" i="4"/>
  <c r="U211" i="4" s="1"/>
  <c r="AD211" i="4" s="1"/>
  <c r="L211" i="4"/>
  <c r="V211" i="4" s="1"/>
  <c r="AE211" i="4" s="1"/>
  <c r="M211" i="4"/>
  <c r="W211" i="4" s="1"/>
  <c r="AF211" i="4" s="1"/>
  <c r="N211" i="4"/>
  <c r="X211" i="4" s="1"/>
  <c r="AG211" i="4" s="1"/>
  <c r="O211" i="4"/>
  <c r="Y211" i="4" s="1"/>
  <c r="AH211" i="4" s="1"/>
  <c r="P211" i="4"/>
  <c r="Z211" i="4" s="1"/>
  <c r="Q211" i="4"/>
  <c r="AA211" i="4" s="1"/>
  <c r="K212" i="4"/>
  <c r="U212" i="4" s="1"/>
  <c r="AD212" i="4" s="1"/>
  <c r="L212" i="4"/>
  <c r="V212" i="4" s="1"/>
  <c r="AE212" i="4" s="1"/>
  <c r="M212" i="4"/>
  <c r="W212" i="4" s="1"/>
  <c r="AF212" i="4" s="1"/>
  <c r="N212" i="4"/>
  <c r="X212" i="4" s="1"/>
  <c r="AG212" i="4" s="1"/>
  <c r="O212" i="4"/>
  <c r="Y212" i="4" s="1"/>
  <c r="AH212" i="4" s="1"/>
  <c r="P212" i="4"/>
  <c r="Z212" i="4" s="1"/>
  <c r="Q212" i="4"/>
  <c r="AA212" i="4" s="1"/>
  <c r="K213" i="4"/>
  <c r="U213" i="4" s="1"/>
  <c r="AD213" i="4" s="1"/>
  <c r="L213" i="4"/>
  <c r="V213" i="4" s="1"/>
  <c r="AE213" i="4" s="1"/>
  <c r="M213" i="4"/>
  <c r="W213" i="4" s="1"/>
  <c r="AF213" i="4" s="1"/>
  <c r="N213" i="4"/>
  <c r="X213" i="4" s="1"/>
  <c r="AG213" i="4" s="1"/>
  <c r="O213" i="4"/>
  <c r="Y213" i="4" s="1"/>
  <c r="AH213" i="4" s="1"/>
  <c r="P213" i="4"/>
  <c r="Z213" i="4" s="1"/>
  <c r="Q213" i="4"/>
  <c r="AA213" i="4" s="1"/>
  <c r="K214" i="4"/>
  <c r="U214" i="4" s="1"/>
  <c r="AD214" i="4" s="1"/>
  <c r="L214" i="4"/>
  <c r="V214" i="4" s="1"/>
  <c r="AE214" i="4" s="1"/>
  <c r="M214" i="4"/>
  <c r="W214" i="4" s="1"/>
  <c r="AF214" i="4" s="1"/>
  <c r="N214" i="4"/>
  <c r="X214" i="4" s="1"/>
  <c r="AG214" i="4" s="1"/>
  <c r="O214" i="4"/>
  <c r="Y214" i="4" s="1"/>
  <c r="AH214" i="4" s="1"/>
  <c r="P214" i="4"/>
  <c r="Z214" i="4" s="1"/>
  <c r="Q214" i="4"/>
  <c r="AA214" i="4" s="1"/>
  <c r="K215" i="4"/>
  <c r="U215" i="4" s="1"/>
  <c r="AD215" i="4" s="1"/>
  <c r="L215" i="4"/>
  <c r="V215" i="4" s="1"/>
  <c r="AE215" i="4" s="1"/>
  <c r="M215" i="4"/>
  <c r="W215" i="4" s="1"/>
  <c r="AF215" i="4" s="1"/>
  <c r="N215" i="4"/>
  <c r="X215" i="4" s="1"/>
  <c r="AG215" i="4" s="1"/>
  <c r="O215" i="4"/>
  <c r="Y215" i="4" s="1"/>
  <c r="AH215" i="4" s="1"/>
  <c r="P215" i="4"/>
  <c r="Z215" i="4" s="1"/>
  <c r="Q215" i="4"/>
  <c r="AA215" i="4" s="1"/>
  <c r="K216" i="4"/>
  <c r="U216" i="4" s="1"/>
  <c r="AD216" i="4" s="1"/>
  <c r="L216" i="4"/>
  <c r="V216" i="4" s="1"/>
  <c r="AE216" i="4" s="1"/>
  <c r="M216" i="4"/>
  <c r="W216" i="4" s="1"/>
  <c r="AF216" i="4" s="1"/>
  <c r="N216" i="4"/>
  <c r="X216" i="4" s="1"/>
  <c r="AG216" i="4" s="1"/>
  <c r="O216" i="4"/>
  <c r="Y216" i="4" s="1"/>
  <c r="AH216" i="4" s="1"/>
  <c r="P216" i="4"/>
  <c r="Z216" i="4" s="1"/>
  <c r="Q216" i="4"/>
  <c r="AA216" i="4" s="1"/>
  <c r="K217" i="4"/>
  <c r="U217" i="4" s="1"/>
  <c r="AD217" i="4" s="1"/>
  <c r="L217" i="4"/>
  <c r="V217" i="4" s="1"/>
  <c r="AE217" i="4" s="1"/>
  <c r="M217" i="4"/>
  <c r="W217" i="4" s="1"/>
  <c r="AF217" i="4" s="1"/>
  <c r="N217" i="4"/>
  <c r="X217" i="4" s="1"/>
  <c r="AG217" i="4" s="1"/>
  <c r="O217" i="4"/>
  <c r="Y217" i="4" s="1"/>
  <c r="AH217" i="4" s="1"/>
  <c r="P217" i="4"/>
  <c r="Z217" i="4" s="1"/>
  <c r="Q217" i="4"/>
  <c r="AA217" i="4" s="1"/>
  <c r="K218" i="4"/>
  <c r="U218" i="4" s="1"/>
  <c r="AD218" i="4" s="1"/>
  <c r="L218" i="4"/>
  <c r="V218" i="4" s="1"/>
  <c r="AE218" i="4" s="1"/>
  <c r="M218" i="4"/>
  <c r="W218" i="4" s="1"/>
  <c r="AF218" i="4" s="1"/>
  <c r="N218" i="4"/>
  <c r="X218" i="4" s="1"/>
  <c r="AG218" i="4" s="1"/>
  <c r="O218" i="4"/>
  <c r="Y218" i="4" s="1"/>
  <c r="AH218" i="4" s="1"/>
  <c r="P218" i="4"/>
  <c r="Z218" i="4" s="1"/>
  <c r="Q218" i="4"/>
  <c r="AA218" i="4" s="1"/>
  <c r="K219" i="4"/>
  <c r="U219" i="4" s="1"/>
  <c r="AD219" i="4" s="1"/>
  <c r="L219" i="4"/>
  <c r="V219" i="4" s="1"/>
  <c r="AE219" i="4" s="1"/>
  <c r="M219" i="4"/>
  <c r="W219" i="4" s="1"/>
  <c r="AF219" i="4" s="1"/>
  <c r="N219" i="4"/>
  <c r="X219" i="4" s="1"/>
  <c r="AG219" i="4" s="1"/>
  <c r="O219" i="4"/>
  <c r="Y219" i="4" s="1"/>
  <c r="AH219" i="4" s="1"/>
  <c r="P219" i="4"/>
  <c r="Z219" i="4" s="1"/>
  <c r="Q219" i="4"/>
  <c r="AA219" i="4" s="1"/>
  <c r="K220" i="4"/>
  <c r="U220" i="4" s="1"/>
  <c r="AD220" i="4" s="1"/>
  <c r="L220" i="4"/>
  <c r="V220" i="4" s="1"/>
  <c r="AE220" i="4" s="1"/>
  <c r="M220" i="4"/>
  <c r="W220" i="4" s="1"/>
  <c r="AF220" i="4" s="1"/>
  <c r="N220" i="4"/>
  <c r="X220" i="4" s="1"/>
  <c r="AG220" i="4" s="1"/>
  <c r="O220" i="4"/>
  <c r="Y220" i="4" s="1"/>
  <c r="AH220" i="4" s="1"/>
  <c r="P220" i="4"/>
  <c r="Z220" i="4" s="1"/>
  <c r="Q220" i="4"/>
  <c r="AA220" i="4" s="1"/>
  <c r="K221" i="4"/>
  <c r="U221" i="4" s="1"/>
  <c r="AD221" i="4" s="1"/>
  <c r="L221" i="4"/>
  <c r="V221" i="4" s="1"/>
  <c r="AE221" i="4" s="1"/>
  <c r="M221" i="4"/>
  <c r="W221" i="4" s="1"/>
  <c r="AF221" i="4" s="1"/>
  <c r="N221" i="4"/>
  <c r="X221" i="4" s="1"/>
  <c r="AG221" i="4" s="1"/>
  <c r="O221" i="4"/>
  <c r="Y221" i="4" s="1"/>
  <c r="AH221" i="4" s="1"/>
  <c r="P221" i="4"/>
  <c r="Z221" i="4" s="1"/>
  <c r="Q221" i="4"/>
  <c r="AA221" i="4" s="1"/>
  <c r="K222" i="4"/>
  <c r="U222" i="4" s="1"/>
  <c r="AD222" i="4" s="1"/>
  <c r="L222" i="4"/>
  <c r="V222" i="4" s="1"/>
  <c r="AE222" i="4" s="1"/>
  <c r="M222" i="4"/>
  <c r="W222" i="4" s="1"/>
  <c r="AF222" i="4" s="1"/>
  <c r="N222" i="4"/>
  <c r="X222" i="4" s="1"/>
  <c r="AG222" i="4" s="1"/>
  <c r="O222" i="4"/>
  <c r="Y222" i="4" s="1"/>
  <c r="AH222" i="4" s="1"/>
  <c r="P222" i="4"/>
  <c r="Z222" i="4" s="1"/>
  <c r="Q222" i="4"/>
  <c r="AA222" i="4" s="1"/>
  <c r="K223" i="4"/>
  <c r="U223" i="4" s="1"/>
  <c r="AD223" i="4" s="1"/>
  <c r="L223" i="4"/>
  <c r="V223" i="4" s="1"/>
  <c r="AE223" i="4" s="1"/>
  <c r="M223" i="4"/>
  <c r="W223" i="4" s="1"/>
  <c r="AF223" i="4" s="1"/>
  <c r="N223" i="4"/>
  <c r="X223" i="4" s="1"/>
  <c r="AG223" i="4" s="1"/>
  <c r="O223" i="4"/>
  <c r="Y223" i="4" s="1"/>
  <c r="AH223" i="4" s="1"/>
  <c r="P223" i="4"/>
  <c r="Z223" i="4" s="1"/>
  <c r="Q223" i="4"/>
  <c r="AA223" i="4" s="1"/>
  <c r="K224" i="4"/>
  <c r="U224" i="4" s="1"/>
  <c r="AD224" i="4" s="1"/>
  <c r="L224" i="4"/>
  <c r="V224" i="4" s="1"/>
  <c r="AE224" i="4" s="1"/>
  <c r="M224" i="4"/>
  <c r="W224" i="4" s="1"/>
  <c r="AF224" i="4" s="1"/>
  <c r="N224" i="4"/>
  <c r="X224" i="4" s="1"/>
  <c r="AG224" i="4" s="1"/>
  <c r="O224" i="4"/>
  <c r="Y224" i="4" s="1"/>
  <c r="AH224" i="4" s="1"/>
  <c r="P224" i="4"/>
  <c r="Z224" i="4" s="1"/>
  <c r="Q224" i="4"/>
  <c r="AA224" i="4" s="1"/>
  <c r="K225" i="4"/>
  <c r="U225" i="4" s="1"/>
  <c r="AD225" i="4" s="1"/>
  <c r="L225" i="4"/>
  <c r="V225" i="4" s="1"/>
  <c r="AE225" i="4" s="1"/>
  <c r="M225" i="4"/>
  <c r="W225" i="4" s="1"/>
  <c r="AF225" i="4" s="1"/>
  <c r="N225" i="4"/>
  <c r="X225" i="4" s="1"/>
  <c r="AG225" i="4" s="1"/>
  <c r="O225" i="4"/>
  <c r="Y225" i="4" s="1"/>
  <c r="AH225" i="4" s="1"/>
  <c r="P225" i="4"/>
  <c r="Z225" i="4" s="1"/>
  <c r="Q225" i="4"/>
  <c r="AA225" i="4" s="1"/>
  <c r="K226" i="4"/>
  <c r="U226" i="4" s="1"/>
  <c r="AD226" i="4" s="1"/>
  <c r="L226" i="4"/>
  <c r="V226" i="4" s="1"/>
  <c r="AE226" i="4" s="1"/>
  <c r="M226" i="4"/>
  <c r="W226" i="4" s="1"/>
  <c r="AF226" i="4" s="1"/>
  <c r="N226" i="4"/>
  <c r="X226" i="4" s="1"/>
  <c r="AG226" i="4" s="1"/>
  <c r="O226" i="4"/>
  <c r="Y226" i="4" s="1"/>
  <c r="AH226" i="4" s="1"/>
  <c r="P226" i="4"/>
  <c r="Z226" i="4" s="1"/>
  <c r="Q226" i="4"/>
  <c r="AA226" i="4" s="1"/>
  <c r="K227" i="4"/>
  <c r="U227" i="4" s="1"/>
  <c r="AD227" i="4" s="1"/>
  <c r="L227" i="4"/>
  <c r="V227" i="4" s="1"/>
  <c r="AE227" i="4" s="1"/>
  <c r="M227" i="4"/>
  <c r="W227" i="4" s="1"/>
  <c r="AF227" i="4" s="1"/>
  <c r="N227" i="4"/>
  <c r="X227" i="4" s="1"/>
  <c r="AG227" i="4" s="1"/>
  <c r="O227" i="4"/>
  <c r="Y227" i="4" s="1"/>
  <c r="AH227" i="4" s="1"/>
  <c r="P227" i="4"/>
  <c r="Z227" i="4" s="1"/>
  <c r="Q227" i="4"/>
  <c r="AA227" i="4" s="1"/>
  <c r="K228" i="4"/>
  <c r="U228" i="4" s="1"/>
  <c r="AD228" i="4" s="1"/>
  <c r="L228" i="4"/>
  <c r="V228" i="4" s="1"/>
  <c r="AE228" i="4" s="1"/>
  <c r="M228" i="4"/>
  <c r="W228" i="4" s="1"/>
  <c r="AF228" i="4" s="1"/>
  <c r="N228" i="4"/>
  <c r="X228" i="4" s="1"/>
  <c r="AG228" i="4" s="1"/>
  <c r="O228" i="4"/>
  <c r="Y228" i="4" s="1"/>
  <c r="AH228" i="4" s="1"/>
  <c r="P228" i="4"/>
  <c r="Z228" i="4" s="1"/>
  <c r="Q228" i="4"/>
  <c r="AA228" i="4" s="1"/>
  <c r="K229" i="4"/>
  <c r="U229" i="4" s="1"/>
  <c r="AD229" i="4" s="1"/>
  <c r="L229" i="4"/>
  <c r="V229" i="4" s="1"/>
  <c r="AE229" i="4" s="1"/>
  <c r="M229" i="4"/>
  <c r="W229" i="4" s="1"/>
  <c r="AF229" i="4" s="1"/>
  <c r="N229" i="4"/>
  <c r="X229" i="4" s="1"/>
  <c r="AG229" i="4" s="1"/>
  <c r="O229" i="4"/>
  <c r="Y229" i="4" s="1"/>
  <c r="AH229" i="4" s="1"/>
  <c r="P229" i="4"/>
  <c r="Z229" i="4" s="1"/>
  <c r="Q229" i="4"/>
  <c r="AA229" i="4" s="1"/>
  <c r="K230" i="4"/>
  <c r="U230" i="4" s="1"/>
  <c r="AD230" i="4" s="1"/>
  <c r="L230" i="4"/>
  <c r="V230" i="4" s="1"/>
  <c r="AE230" i="4" s="1"/>
  <c r="M230" i="4"/>
  <c r="W230" i="4" s="1"/>
  <c r="AF230" i="4" s="1"/>
  <c r="N230" i="4"/>
  <c r="X230" i="4" s="1"/>
  <c r="AG230" i="4" s="1"/>
  <c r="O230" i="4"/>
  <c r="Y230" i="4" s="1"/>
  <c r="AH230" i="4" s="1"/>
  <c r="P230" i="4"/>
  <c r="Z230" i="4" s="1"/>
  <c r="Q230" i="4"/>
  <c r="AA230" i="4" s="1"/>
  <c r="K231" i="4"/>
  <c r="U231" i="4" s="1"/>
  <c r="AD231" i="4" s="1"/>
  <c r="L231" i="4"/>
  <c r="V231" i="4" s="1"/>
  <c r="AE231" i="4" s="1"/>
  <c r="M231" i="4"/>
  <c r="W231" i="4" s="1"/>
  <c r="AF231" i="4" s="1"/>
  <c r="N231" i="4"/>
  <c r="X231" i="4" s="1"/>
  <c r="AG231" i="4" s="1"/>
  <c r="O231" i="4"/>
  <c r="Y231" i="4" s="1"/>
  <c r="AH231" i="4" s="1"/>
  <c r="P231" i="4"/>
  <c r="Z231" i="4" s="1"/>
  <c r="Q231" i="4"/>
  <c r="AA231" i="4" s="1"/>
  <c r="K232" i="4"/>
  <c r="U232" i="4" s="1"/>
  <c r="AD232" i="4" s="1"/>
  <c r="L232" i="4"/>
  <c r="V232" i="4" s="1"/>
  <c r="AE232" i="4" s="1"/>
  <c r="M232" i="4"/>
  <c r="W232" i="4" s="1"/>
  <c r="AF232" i="4" s="1"/>
  <c r="N232" i="4"/>
  <c r="X232" i="4" s="1"/>
  <c r="AG232" i="4" s="1"/>
  <c r="O232" i="4"/>
  <c r="Y232" i="4" s="1"/>
  <c r="AH232" i="4" s="1"/>
  <c r="P232" i="4"/>
  <c r="Z232" i="4" s="1"/>
  <c r="Q232" i="4"/>
  <c r="AA232" i="4" s="1"/>
  <c r="K233" i="4"/>
  <c r="U233" i="4" s="1"/>
  <c r="AD233" i="4" s="1"/>
  <c r="L233" i="4"/>
  <c r="V233" i="4" s="1"/>
  <c r="AE233" i="4" s="1"/>
  <c r="M233" i="4"/>
  <c r="W233" i="4" s="1"/>
  <c r="AF233" i="4" s="1"/>
  <c r="N233" i="4"/>
  <c r="X233" i="4" s="1"/>
  <c r="AG233" i="4" s="1"/>
  <c r="O233" i="4"/>
  <c r="Y233" i="4" s="1"/>
  <c r="AH233" i="4" s="1"/>
  <c r="P233" i="4"/>
  <c r="Z233" i="4" s="1"/>
  <c r="Q233" i="4"/>
  <c r="AA233" i="4" s="1"/>
  <c r="K234" i="4"/>
  <c r="U234" i="4" s="1"/>
  <c r="AD234" i="4" s="1"/>
  <c r="L234" i="4"/>
  <c r="V234" i="4" s="1"/>
  <c r="AE234" i="4" s="1"/>
  <c r="M234" i="4"/>
  <c r="W234" i="4" s="1"/>
  <c r="AF234" i="4" s="1"/>
  <c r="N234" i="4"/>
  <c r="X234" i="4" s="1"/>
  <c r="AG234" i="4" s="1"/>
  <c r="O234" i="4"/>
  <c r="Y234" i="4" s="1"/>
  <c r="AH234" i="4" s="1"/>
  <c r="P234" i="4"/>
  <c r="Z234" i="4" s="1"/>
  <c r="Q234" i="4"/>
  <c r="AA234" i="4" s="1"/>
  <c r="K235" i="4"/>
  <c r="U235" i="4" s="1"/>
  <c r="AD235" i="4" s="1"/>
  <c r="L235" i="4"/>
  <c r="V235" i="4" s="1"/>
  <c r="AE235" i="4" s="1"/>
  <c r="M235" i="4"/>
  <c r="W235" i="4" s="1"/>
  <c r="AF235" i="4" s="1"/>
  <c r="N235" i="4"/>
  <c r="X235" i="4" s="1"/>
  <c r="AG235" i="4" s="1"/>
  <c r="O235" i="4"/>
  <c r="Y235" i="4" s="1"/>
  <c r="AH235" i="4" s="1"/>
  <c r="P235" i="4"/>
  <c r="Z235" i="4" s="1"/>
  <c r="Q235" i="4"/>
  <c r="AA235" i="4" s="1"/>
  <c r="K236" i="4"/>
  <c r="U236" i="4" s="1"/>
  <c r="AD236" i="4" s="1"/>
  <c r="L236" i="4"/>
  <c r="V236" i="4" s="1"/>
  <c r="AE236" i="4" s="1"/>
  <c r="M236" i="4"/>
  <c r="W236" i="4" s="1"/>
  <c r="AF236" i="4" s="1"/>
  <c r="N236" i="4"/>
  <c r="X236" i="4" s="1"/>
  <c r="AG236" i="4" s="1"/>
  <c r="O236" i="4"/>
  <c r="Y236" i="4" s="1"/>
  <c r="AH236" i="4" s="1"/>
  <c r="P236" i="4"/>
  <c r="Z236" i="4" s="1"/>
  <c r="Q236" i="4"/>
  <c r="AA236" i="4" s="1"/>
  <c r="K237" i="4"/>
  <c r="U237" i="4" s="1"/>
  <c r="AD237" i="4" s="1"/>
  <c r="L237" i="4"/>
  <c r="V237" i="4" s="1"/>
  <c r="AE237" i="4" s="1"/>
  <c r="M237" i="4"/>
  <c r="W237" i="4" s="1"/>
  <c r="AF237" i="4" s="1"/>
  <c r="N237" i="4"/>
  <c r="X237" i="4" s="1"/>
  <c r="AG237" i="4" s="1"/>
  <c r="O237" i="4"/>
  <c r="Y237" i="4" s="1"/>
  <c r="AH237" i="4" s="1"/>
  <c r="P237" i="4"/>
  <c r="Z237" i="4" s="1"/>
  <c r="Q237" i="4"/>
  <c r="AA237" i="4" s="1"/>
  <c r="K238" i="4"/>
  <c r="U238" i="4" s="1"/>
  <c r="AD238" i="4" s="1"/>
  <c r="L238" i="4"/>
  <c r="V238" i="4" s="1"/>
  <c r="AE238" i="4" s="1"/>
  <c r="M238" i="4"/>
  <c r="W238" i="4" s="1"/>
  <c r="AF238" i="4" s="1"/>
  <c r="N238" i="4"/>
  <c r="X238" i="4" s="1"/>
  <c r="AG238" i="4" s="1"/>
  <c r="O238" i="4"/>
  <c r="Y238" i="4" s="1"/>
  <c r="AH238" i="4" s="1"/>
  <c r="P238" i="4"/>
  <c r="Z238" i="4" s="1"/>
  <c r="Q238" i="4"/>
  <c r="AA238" i="4" s="1"/>
  <c r="K239" i="4"/>
  <c r="U239" i="4" s="1"/>
  <c r="AD239" i="4" s="1"/>
  <c r="L239" i="4"/>
  <c r="V239" i="4" s="1"/>
  <c r="AE239" i="4" s="1"/>
  <c r="M239" i="4"/>
  <c r="W239" i="4" s="1"/>
  <c r="AF239" i="4" s="1"/>
  <c r="N239" i="4"/>
  <c r="X239" i="4" s="1"/>
  <c r="AG239" i="4" s="1"/>
  <c r="O239" i="4"/>
  <c r="Y239" i="4" s="1"/>
  <c r="AH239" i="4" s="1"/>
  <c r="P239" i="4"/>
  <c r="Z239" i="4" s="1"/>
  <c r="Q239" i="4"/>
  <c r="AA239" i="4" s="1"/>
  <c r="K240" i="4"/>
  <c r="U240" i="4" s="1"/>
  <c r="AD240" i="4" s="1"/>
  <c r="L240" i="4"/>
  <c r="V240" i="4" s="1"/>
  <c r="AE240" i="4" s="1"/>
  <c r="M240" i="4"/>
  <c r="W240" i="4" s="1"/>
  <c r="AF240" i="4" s="1"/>
  <c r="N240" i="4"/>
  <c r="X240" i="4" s="1"/>
  <c r="AG240" i="4" s="1"/>
  <c r="O240" i="4"/>
  <c r="Y240" i="4" s="1"/>
  <c r="AH240" i="4" s="1"/>
  <c r="P240" i="4"/>
  <c r="Z240" i="4" s="1"/>
  <c r="Q240" i="4"/>
  <c r="AA240" i="4" s="1"/>
  <c r="K241" i="4"/>
  <c r="U241" i="4" s="1"/>
  <c r="AD241" i="4" s="1"/>
  <c r="L241" i="4"/>
  <c r="V241" i="4" s="1"/>
  <c r="AE241" i="4" s="1"/>
  <c r="M241" i="4"/>
  <c r="W241" i="4" s="1"/>
  <c r="AF241" i="4" s="1"/>
  <c r="N241" i="4"/>
  <c r="X241" i="4" s="1"/>
  <c r="AG241" i="4" s="1"/>
  <c r="O241" i="4"/>
  <c r="Y241" i="4" s="1"/>
  <c r="AH241" i="4" s="1"/>
  <c r="P241" i="4"/>
  <c r="Z241" i="4" s="1"/>
  <c r="Q241" i="4"/>
  <c r="AA241" i="4" s="1"/>
  <c r="K242" i="4"/>
  <c r="U242" i="4" s="1"/>
  <c r="AD242" i="4" s="1"/>
  <c r="L242" i="4"/>
  <c r="V242" i="4" s="1"/>
  <c r="AE242" i="4" s="1"/>
  <c r="M242" i="4"/>
  <c r="W242" i="4" s="1"/>
  <c r="AF242" i="4" s="1"/>
  <c r="N242" i="4"/>
  <c r="X242" i="4" s="1"/>
  <c r="AG242" i="4" s="1"/>
  <c r="O242" i="4"/>
  <c r="Y242" i="4" s="1"/>
  <c r="AH242" i="4" s="1"/>
  <c r="P242" i="4"/>
  <c r="Z242" i="4" s="1"/>
  <c r="Q242" i="4"/>
  <c r="AA242" i="4" s="1"/>
  <c r="K243" i="4"/>
  <c r="U243" i="4" s="1"/>
  <c r="AD243" i="4" s="1"/>
  <c r="L243" i="4"/>
  <c r="V243" i="4" s="1"/>
  <c r="AE243" i="4" s="1"/>
  <c r="M243" i="4"/>
  <c r="W243" i="4" s="1"/>
  <c r="AF243" i="4" s="1"/>
  <c r="N243" i="4"/>
  <c r="X243" i="4" s="1"/>
  <c r="AG243" i="4" s="1"/>
  <c r="O243" i="4"/>
  <c r="Y243" i="4" s="1"/>
  <c r="AH243" i="4" s="1"/>
  <c r="P243" i="4"/>
  <c r="Z243" i="4" s="1"/>
  <c r="Q243" i="4"/>
  <c r="AA243" i="4" s="1"/>
  <c r="K244" i="4"/>
  <c r="U244" i="4" s="1"/>
  <c r="AD244" i="4" s="1"/>
  <c r="L244" i="4"/>
  <c r="V244" i="4" s="1"/>
  <c r="AE244" i="4" s="1"/>
  <c r="M244" i="4"/>
  <c r="W244" i="4" s="1"/>
  <c r="AF244" i="4" s="1"/>
  <c r="N244" i="4"/>
  <c r="X244" i="4" s="1"/>
  <c r="AG244" i="4" s="1"/>
  <c r="O244" i="4"/>
  <c r="Y244" i="4" s="1"/>
  <c r="AH244" i="4" s="1"/>
  <c r="P244" i="4"/>
  <c r="Z244" i="4" s="1"/>
  <c r="Q244" i="4"/>
  <c r="AA244" i="4" s="1"/>
  <c r="K245" i="4"/>
  <c r="U245" i="4" s="1"/>
  <c r="AD245" i="4" s="1"/>
  <c r="L245" i="4"/>
  <c r="V245" i="4" s="1"/>
  <c r="AE245" i="4" s="1"/>
  <c r="M245" i="4"/>
  <c r="W245" i="4" s="1"/>
  <c r="AF245" i="4" s="1"/>
  <c r="N245" i="4"/>
  <c r="X245" i="4" s="1"/>
  <c r="AG245" i="4" s="1"/>
  <c r="O245" i="4"/>
  <c r="Y245" i="4" s="1"/>
  <c r="AH245" i="4" s="1"/>
  <c r="P245" i="4"/>
  <c r="Z245" i="4" s="1"/>
  <c r="Q245" i="4"/>
  <c r="AA245" i="4" s="1"/>
  <c r="K246" i="4"/>
  <c r="U246" i="4" s="1"/>
  <c r="AD246" i="4" s="1"/>
  <c r="L246" i="4"/>
  <c r="V246" i="4" s="1"/>
  <c r="AE246" i="4" s="1"/>
  <c r="M246" i="4"/>
  <c r="W246" i="4" s="1"/>
  <c r="AF246" i="4" s="1"/>
  <c r="N246" i="4"/>
  <c r="X246" i="4" s="1"/>
  <c r="AG246" i="4" s="1"/>
  <c r="O246" i="4"/>
  <c r="Y246" i="4" s="1"/>
  <c r="AH246" i="4" s="1"/>
  <c r="P246" i="4"/>
  <c r="Z246" i="4" s="1"/>
  <c r="Q246" i="4"/>
  <c r="AA246" i="4" s="1"/>
  <c r="K247" i="4"/>
  <c r="U247" i="4" s="1"/>
  <c r="AD247" i="4" s="1"/>
  <c r="L247" i="4"/>
  <c r="V247" i="4" s="1"/>
  <c r="AE247" i="4" s="1"/>
  <c r="M247" i="4"/>
  <c r="W247" i="4" s="1"/>
  <c r="AF247" i="4" s="1"/>
  <c r="N247" i="4"/>
  <c r="X247" i="4" s="1"/>
  <c r="AG247" i="4" s="1"/>
  <c r="O247" i="4"/>
  <c r="Y247" i="4" s="1"/>
  <c r="AH247" i="4" s="1"/>
  <c r="P247" i="4"/>
  <c r="Z247" i="4" s="1"/>
  <c r="Q247" i="4"/>
  <c r="AA247" i="4" s="1"/>
  <c r="K248" i="4"/>
  <c r="U248" i="4" s="1"/>
  <c r="AD248" i="4" s="1"/>
  <c r="L248" i="4"/>
  <c r="V248" i="4" s="1"/>
  <c r="AE248" i="4" s="1"/>
  <c r="M248" i="4"/>
  <c r="W248" i="4" s="1"/>
  <c r="AF248" i="4" s="1"/>
  <c r="N248" i="4"/>
  <c r="X248" i="4" s="1"/>
  <c r="AG248" i="4" s="1"/>
  <c r="O248" i="4"/>
  <c r="Y248" i="4" s="1"/>
  <c r="AH248" i="4" s="1"/>
  <c r="P248" i="4"/>
  <c r="Z248" i="4" s="1"/>
  <c r="Q248" i="4"/>
  <c r="AA248" i="4" s="1"/>
  <c r="K249" i="4"/>
  <c r="U249" i="4" s="1"/>
  <c r="AD249" i="4" s="1"/>
  <c r="L249" i="4"/>
  <c r="V249" i="4" s="1"/>
  <c r="AE249" i="4" s="1"/>
  <c r="M249" i="4"/>
  <c r="W249" i="4" s="1"/>
  <c r="AF249" i="4" s="1"/>
  <c r="N249" i="4"/>
  <c r="X249" i="4" s="1"/>
  <c r="AG249" i="4" s="1"/>
  <c r="O249" i="4"/>
  <c r="Y249" i="4" s="1"/>
  <c r="AH249" i="4" s="1"/>
  <c r="P249" i="4"/>
  <c r="Z249" i="4" s="1"/>
  <c r="Q249" i="4"/>
  <c r="AA249" i="4" s="1"/>
  <c r="K250" i="4"/>
  <c r="U250" i="4" s="1"/>
  <c r="AD250" i="4" s="1"/>
  <c r="L250" i="4"/>
  <c r="V250" i="4" s="1"/>
  <c r="AE250" i="4" s="1"/>
  <c r="M250" i="4"/>
  <c r="W250" i="4" s="1"/>
  <c r="AF250" i="4" s="1"/>
  <c r="N250" i="4"/>
  <c r="X250" i="4" s="1"/>
  <c r="AG250" i="4" s="1"/>
  <c r="O250" i="4"/>
  <c r="Y250" i="4" s="1"/>
  <c r="AH250" i="4" s="1"/>
  <c r="P250" i="4"/>
  <c r="Z250" i="4" s="1"/>
  <c r="Q250" i="4"/>
  <c r="AA250" i="4" s="1"/>
  <c r="K251" i="4"/>
  <c r="U251" i="4" s="1"/>
  <c r="AD251" i="4" s="1"/>
  <c r="L251" i="4"/>
  <c r="V251" i="4" s="1"/>
  <c r="AE251" i="4" s="1"/>
  <c r="M251" i="4"/>
  <c r="W251" i="4" s="1"/>
  <c r="AF251" i="4" s="1"/>
  <c r="N251" i="4"/>
  <c r="X251" i="4" s="1"/>
  <c r="AG251" i="4" s="1"/>
  <c r="O251" i="4"/>
  <c r="Y251" i="4" s="1"/>
  <c r="AH251" i="4" s="1"/>
  <c r="P251" i="4"/>
  <c r="Z251" i="4" s="1"/>
  <c r="Q251" i="4"/>
  <c r="AA251" i="4" s="1"/>
  <c r="K252" i="4"/>
  <c r="U252" i="4" s="1"/>
  <c r="AD252" i="4" s="1"/>
  <c r="L252" i="4"/>
  <c r="V252" i="4" s="1"/>
  <c r="AE252" i="4" s="1"/>
  <c r="M252" i="4"/>
  <c r="W252" i="4" s="1"/>
  <c r="AF252" i="4" s="1"/>
  <c r="N252" i="4"/>
  <c r="X252" i="4" s="1"/>
  <c r="AG252" i="4" s="1"/>
  <c r="O252" i="4"/>
  <c r="Y252" i="4" s="1"/>
  <c r="AH252" i="4" s="1"/>
  <c r="P252" i="4"/>
  <c r="Z252" i="4" s="1"/>
  <c r="Q252" i="4"/>
  <c r="AA252" i="4" s="1"/>
  <c r="L3" i="4"/>
  <c r="V3" i="4" s="1"/>
  <c r="AE3" i="4" s="1"/>
  <c r="M3" i="4"/>
  <c r="W3" i="4" s="1"/>
  <c r="AF3" i="4" s="1"/>
  <c r="N3" i="4"/>
  <c r="X3" i="4" s="1"/>
  <c r="AG3" i="4" s="1"/>
  <c r="O3" i="4"/>
  <c r="Y3" i="4" s="1"/>
  <c r="AH3" i="4" s="1"/>
  <c r="P3" i="4"/>
  <c r="Z3" i="4" s="1"/>
  <c r="Q3" i="4"/>
  <c r="AA3" i="4" s="1"/>
  <c r="T5" i="5"/>
  <c r="T6" i="5"/>
  <c r="T7" i="5"/>
  <c r="T8" i="5"/>
  <c r="T4" i="5"/>
  <c r="AK196" i="4" l="1"/>
  <c r="AK186" i="4"/>
  <c r="AK217" i="4"/>
  <c r="AK234" i="4"/>
  <c r="AK164" i="4"/>
  <c r="AK250" i="4"/>
  <c r="AK97" i="4"/>
  <c r="AK189" i="4"/>
  <c r="AK95" i="4"/>
  <c r="AK141" i="4"/>
  <c r="AK162" i="4"/>
  <c r="AK201" i="4"/>
  <c r="AK130" i="4"/>
  <c r="AK224" i="4"/>
  <c r="AK160" i="4"/>
  <c r="AK175" i="4"/>
  <c r="AK105" i="4"/>
  <c r="AK166" i="4"/>
  <c r="AK140" i="4"/>
  <c r="AK76" i="4"/>
  <c r="AK115" i="4"/>
  <c r="AK51" i="4"/>
  <c r="AK74" i="4"/>
  <c r="AK73" i="4"/>
  <c r="AK152" i="4"/>
  <c r="AK88" i="4"/>
  <c r="AK23" i="4"/>
  <c r="AK32" i="4"/>
  <c r="AK70" i="4"/>
  <c r="AK7" i="4"/>
  <c r="AK42" i="4"/>
  <c r="AK244" i="4"/>
  <c r="AK239" i="4"/>
  <c r="AK202" i="4"/>
  <c r="AK228" i="4"/>
  <c r="AK147" i="4"/>
  <c r="AK249" i="4"/>
  <c r="AK245" i="4"/>
  <c r="AK181" i="4"/>
  <c r="AK203" i="4"/>
  <c r="AK135" i="4"/>
  <c r="AK155" i="4"/>
  <c r="AK193" i="4"/>
  <c r="AK113" i="4"/>
  <c r="AK216" i="4"/>
  <c r="AK150" i="4"/>
  <c r="AK167" i="4"/>
  <c r="AK14" i="4"/>
  <c r="AK145" i="4"/>
  <c r="AK132" i="4"/>
  <c r="AK68" i="4"/>
  <c r="AK107" i="4"/>
  <c r="AK35" i="4"/>
  <c r="AK66" i="4"/>
  <c r="AK65" i="4"/>
  <c r="AK144" i="4"/>
  <c r="AK80" i="4"/>
  <c r="AK6" i="4"/>
  <c r="AK20" i="4"/>
  <c r="AK62" i="4"/>
  <c r="AK4" i="4"/>
  <c r="AK34" i="4"/>
  <c r="AK231" i="4"/>
  <c r="AK226" i="4"/>
  <c r="AK183" i="4"/>
  <c r="AK211" i="4"/>
  <c r="AK241" i="4"/>
  <c r="AK242" i="4"/>
  <c r="AK237" i="4"/>
  <c r="AK173" i="4"/>
  <c r="AK195" i="4"/>
  <c r="AK117" i="4"/>
  <c r="AK142" i="4"/>
  <c r="AK185" i="4"/>
  <c r="AK101" i="4"/>
  <c r="AK208" i="4"/>
  <c r="AK137" i="4"/>
  <c r="AK159" i="4"/>
  <c r="AK214" i="4"/>
  <c r="AK139" i="4"/>
  <c r="AK124" i="4"/>
  <c r="AK60" i="4"/>
  <c r="AK99" i="4"/>
  <c r="AK25" i="4"/>
  <c r="AK58" i="4"/>
  <c r="AK57" i="4"/>
  <c r="AK136" i="4"/>
  <c r="AK72" i="4"/>
  <c r="AK79" i="4"/>
  <c r="AK118" i="4"/>
  <c r="AK54" i="4"/>
  <c r="AK45" i="4"/>
  <c r="AK26" i="4"/>
  <c r="AK210" i="4"/>
  <c r="AK207" i="4"/>
  <c r="AK180" i="4"/>
  <c r="AK204" i="4"/>
  <c r="AK235" i="4"/>
  <c r="AK236" i="4"/>
  <c r="AK229" i="4"/>
  <c r="AK165" i="4"/>
  <c r="AK187" i="4"/>
  <c r="AK85" i="4"/>
  <c r="AK129" i="4"/>
  <c r="AK177" i="4"/>
  <c r="AK89" i="4"/>
  <c r="AK200" i="4"/>
  <c r="AK131" i="4"/>
  <c r="AK158" i="4"/>
  <c r="AK206" i="4"/>
  <c r="AK126" i="4"/>
  <c r="AK116" i="4"/>
  <c r="AK52" i="4"/>
  <c r="AK91" i="4"/>
  <c r="AK15" i="4"/>
  <c r="AK50" i="4"/>
  <c r="AK49" i="4"/>
  <c r="AK128" i="4"/>
  <c r="AK64" i="4"/>
  <c r="AK71" i="4"/>
  <c r="AK110" i="4"/>
  <c r="AK46" i="4"/>
  <c r="AK37" i="4"/>
  <c r="AK18" i="4"/>
  <c r="AK3" i="4"/>
  <c r="AK191" i="4"/>
  <c r="AK188" i="4"/>
  <c r="AK119" i="4"/>
  <c r="AK172" i="4"/>
  <c r="AK254" i="4"/>
  <c r="AK223" i="4"/>
  <c r="AK221" i="4"/>
  <c r="AK146" i="4"/>
  <c r="AK179" i="4"/>
  <c r="AK77" i="4"/>
  <c r="AK122" i="4"/>
  <c r="AK169" i="4"/>
  <c r="AK61" i="4"/>
  <c r="AK192" i="4"/>
  <c r="AK125" i="4"/>
  <c r="AK157" i="4"/>
  <c r="AK198" i="4"/>
  <c r="AK114" i="4"/>
  <c r="AK108" i="4"/>
  <c r="AK41" i="4"/>
  <c r="AK83" i="4"/>
  <c r="AK106" i="4"/>
  <c r="AK36" i="4"/>
  <c r="AK43" i="4"/>
  <c r="AK120" i="4"/>
  <c r="AK56" i="4"/>
  <c r="AK63" i="4"/>
  <c r="AK102" i="4"/>
  <c r="AK39" i="4"/>
  <c r="AK29" i="4"/>
  <c r="AK10" i="4"/>
  <c r="AK243" i="4"/>
  <c r="AK153" i="4"/>
  <c r="AK220" i="4"/>
  <c r="AK225" i="4"/>
  <c r="AK222" i="4"/>
  <c r="AK253" i="4"/>
  <c r="AK215" i="4"/>
  <c r="AK213" i="4"/>
  <c r="AK133" i="4"/>
  <c r="AK171" i="4"/>
  <c r="AK40" i="4"/>
  <c r="AK87" i="4"/>
  <c r="AK161" i="4"/>
  <c r="AK248" i="4"/>
  <c r="AK184" i="4"/>
  <c r="AK111" i="4"/>
  <c r="AK151" i="4"/>
  <c r="AK190" i="4"/>
  <c r="AK93" i="4"/>
  <c r="AK100" i="4"/>
  <c r="AK28" i="4"/>
  <c r="AK75" i="4"/>
  <c r="AK98" i="4"/>
  <c r="AK22" i="4"/>
  <c r="AK30" i="4"/>
  <c r="AK112" i="4"/>
  <c r="AK48" i="4"/>
  <c r="AK55" i="4"/>
  <c r="AK94" i="4"/>
  <c r="AK33" i="4"/>
  <c r="AK21" i="4"/>
  <c r="AK24" i="4"/>
  <c r="AK230" i="4"/>
  <c r="AK134" i="4"/>
  <c r="AK246" i="4"/>
  <c r="AK233" i="4"/>
  <c r="AK218" i="4"/>
  <c r="AK252" i="4"/>
  <c r="AK212" i="4"/>
  <c r="AK205" i="4"/>
  <c r="AK127" i="4"/>
  <c r="AK163" i="4"/>
  <c r="AK178" i="4"/>
  <c r="AK69" i="4"/>
  <c r="AK149" i="4"/>
  <c r="AK240" i="4"/>
  <c r="AK176" i="4"/>
  <c r="AK103" i="4"/>
  <c r="AK138" i="4"/>
  <c r="AK182" i="4"/>
  <c r="AK156" i="4"/>
  <c r="AK92" i="4"/>
  <c r="AK11" i="4"/>
  <c r="AK67" i="4"/>
  <c r="AK90" i="4"/>
  <c r="AK12" i="4"/>
  <c r="AK19" i="4"/>
  <c r="AK104" i="4"/>
  <c r="AK44" i="4"/>
  <c r="AK47" i="4"/>
  <c r="AK86" i="4"/>
  <c r="AK27" i="4"/>
  <c r="AK13" i="4"/>
  <c r="AK16" i="4"/>
  <c r="AK219" i="4"/>
  <c r="AK238" i="4"/>
  <c r="AK227" i="4"/>
  <c r="AK247" i="4"/>
  <c r="AK199" i="4"/>
  <c r="AK251" i="4"/>
  <c r="AK194" i="4"/>
  <c r="AK197" i="4"/>
  <c r="AK121" i="4"/>
  <c r="AK154" i="4"/>
  <c r="AK170" i="4"/>
  <c r="AK209" i="4"/>
  <c r="AK143" i="4"/>
  <c r="AK232" i="4"/>
  <c r="AK168" i="4"/>
  <c r="AK53" i="4"/>
  <c r="AK109" i="4"/>
  <c r="AK174" i="4"/>
  <c r="AK148" i="4"/>
  <c r="AK84" i="4"/>
  <c r="AK123" i="4"/>
  <c r="AK59" i="4"/>
  <c r="AK82" i="4"/>
  <c r="AK81" i="4"/>
  <c r="AK9" i="4"/>
  <c r="AK96" i="4"/>
  <c r="AK31" i="4"/>
  <c r="AK38" i="4"/>
  <c r="AK78" i="4"/>
  <c r="AK17" i="4"/>
  <c r="AK5" i="4"/>
  <c r="AK8" i="4"/>
  <c r="AL11" i="4" l="1"/>
  <c r="AL75" i="4"/>
  <c r="AL139" i="4"/>
  <c r="AL203" i="4"/>
  <c r="AL12" i="4"/>
  <c r="AL76" i="4"/>
  <c r="AL140" i="4"/>
  <c r="AL204" i="4"/>
  <c r="AL13" i="4"/>
  <c r="AL77" i="4"/>
  <c r="AL141" i="4"/>
  <c r="AL205" i="4"/>
  <c r="AL14" i="4"/>
  <c r="AL78" i="4"/>
  <c r="AL142" i="4"/>
  <c r="AL206" i="4"/>
  <c r="AL15" i="4"/>
  <c r="AL79" i="4"/>
  <c r="AL143" i="4"/>
  <c r="AL207" i="4"/>
  <c r="AL16" i="4"/>
  <c r="AL80" i="4"/>
  <c r="AL144" i="4"/>
  <c r="AL208" i="4"/>
  <c r="AL17" i="4"/>
  <c r="AL81" i="4"/>
  <c r="AL145" i="4"/>
  <c r="AL209" i="4"/>
  <c r="AL26" i="4"/>
  <c r="AL90" i="4"/>
  <c r="AL154" i="4"/>
  <c r="AL218" i="4"/>
  <c r="AL212" i="4"/>
  <c r="AL21" i="4"/>
  <c r="AL85" i="4"/>
  <c r="AL149" i="4"/>
  <c r="AL213" i="4"/>
  <c r="AL22" i="4"/>
  <c r="AL86" i="4"/>
  <c r="AL150" i="4"/>
  <c r="AL214" i="4"/>
  <c r="AL23" i="4"/>
  <c r="AL87" i="4"/>
  <c r="AL151" i="4"/>
  <c r="AL215" i="4"/>
  <c r="AL24" i="4"/>
  <c r="AL88" i="4"/>
  <c r="AL152" i="4"/>
  <c r="AL216" i="4"/>
  <c r="AL25" i="4"/>
  <c r="AL89" i="4"/>
  <c r="AL153" i="4"/>
  <c r="AL217" i="4"/>
  <c r="AL34" i="4"/>
  <c r="AL98" i="4"/>
  <c r="AL162" i="4"/>
  <c r="AL226" i="4"/>
  <c r="AL19" i="4"/>
  <c r="AL83" i="4"/>
  <c r="AL147" i="4"/>
  <c r="AL211" i="4"/>
  <c r="AL20" i="4"/>
  <c r="AL84" i="4"/>
  <c r="AL148" i="4"/>
  <c r="AL27" i="4"/>
  <c r="AL91" i="4"/>
  <c r="AL155" i="4"/>
  <c r="AL219" i="4"/>
  <c r="AL28" i="4"/>
  <c r="AL92" i="4"/>
  <c r="AL156" i="4"/>
  <c r="AL220" i="4"/>
  <c r="AL29" i="4"/>
  <c r="AL93" i="4"/>
  <c r="AL157" i="4"/>
  <c r="AL221" i="4"/>
  <c r="AL30" i="4"/>
  <c r="AL94" i="4"/>
  <c r="AL158" i="4"/>
  <c r="AL222" i="4"/>
  <c r="AL31" i="4"/>
  <c r="AL95" i="4"/>
  <c r="AL159" i="4"/>
  <c r="AL223" i="4"/>
  <c r="AL32" i="4"/>
  <c r="AL96" i="4"/>
  <c r="AL160" i="4"/>
  <c r="AL224" i="4"/>
  <c r="AL33" i="4"/>
  <c r="AL97" i="4"/>
  <c r="AL161" i="4"/>
  <c r="AL225" i="4"/>
  <c r="AL42" i="4"/>
  <c r="AL106" i="4"/>
  <c r="AL170" i="4"/>
  <c r="AL234" i="4"/>
  <c r="AL59" i="4"/>
  <c r="AL60" i="4"/>
  <c r="AL252" i="4"/>
  <c r="AL253" i="4"/>
  <c r="AL254" i="4"/>
  <c r="AL3" i="4"/>
  <c r="B4" i="6"/>
  <c r="B5" i="6" s="1"/>
  <c r="AL35" i="4"/>
  <c r="AL99" i="4"/>
  <c r="AL163" i="4"/>
  <c r="AL227" i="4"/>
  <c r="AL36" i="4"/>
  <c r="AL100" i="4"/>
  <c r="AL164" i="4"/>
  <c r="AL228" i="4"/>
  <c r="AL37" i="4"/>
  <c r="AL101" i="4"/>
  <c r="AL165" i="4"/>
  <c r="AL229" i="4"/>
  <c r="AL38" i="4"/>
  <c r="AL102" i="4"/>
  <c r="AL166" i="4"/>
  <c r="AL230" i="4"/>
  <c r="AL39" i="4"/>
  <c r="AL103" i="4"/>
  <c r="AL167" i="4"/>
  <c r="AL231" i="4"/>
  <c r="AL40" i="4"/>
  <c r="AL104" i="4"/>
  <c r="AL168" i="4"/>
  <c r="AL232" i="4"/>
  <c r="AL41" i="4"/>
  <c r="AL105" i="4"/>
  <c r="AL169" i="4"/>
  <c r="AL233" i="4"/>
  <c r="AL50" i="4"/>
  <c r="AL114" i="4"/>
  <c r="AL178" i="4"/>
  <c r="AL242" i="4"/>
  <c r="AL123" i="4"/>
  <c r="AL188" i="4"/>
  <c r="AL189" i="4"/>
  <c r="AL190" i="4"/>
  <c r="AL64" i="4"/>
  <c r="AL65" i="4"/>
  <c r="AL10" i="4"/>
  <c r="AL202" i="4"/>
  <c r="AL43" i="4"/>
  <c r="AL107" i="4"/>
  <c r="AL171" i="4"/>
  <c r="AL235" i="4"/>
  <c r="AL44" i="4"/>
  <c r="AL108" i="4"/>
  <c r="AL172" i="4"/>
  <c r="AL236" i="4"/>
  <c r="AL45" i="4"/>
  <c r="AL109" i="4"/>
  <c r="AL173" i="4"/>
  <c r="AL237" i="4"/>
  <c r="AL46" i="4"/>
  <c r="AL110" i="4"/>
  <c r="AL174" i="4"/>
  <c r="AL238" i="4"/>
  <c r="AL47" i="4"/>
  <c r="AL111" i="4"/>
  <c r="AL175" i="4"/>
  <c r="AL239" i="4"/>
  <c r="AL48" i="4"/>
  <c r="AL112" i="4"/>
  <c r="AL176" i="4"/>
  <c r="AL240" i="4"/>
  <c r="AL49" i="4"/>
  <c r="AL113" i="4"/>
  <c r="AL177" i="4"/>
  <c r="AL241" i="4"/>
  <c r="AL58" i="4"/>
  <c r="AL122" i="4"/>
  <c r="AL186" i="4"/>
  <c r="AL250" i="4"/>
  <c r="AL187" i="4"/>
  <c r="AL124" i="4"/>
  <c r="AL61" i="4"/>
  <c r="AL62" i="4"/>
  <c r="AL127" i="4"/>
  <c r="AL128" i="4"/>
  <c r="AL129" i="4"/>
  <c r="AL138" i="4"/>
  <c r="AL51" i="4"/>
  <c r="AL115" i="4"/>
  <c r="AL179" i="4"/>
  <c r="AL243" i="4"/>
  <c r="AL52" i="4"/>
  <c r="AL116" i="4"/>
  <c r="AL180" i="4"/>
  <c r="AL244" i="4"/>
  <c r="AL53" i="4"/>
  <c r="AL117" i="4"/>
  <c r="AL181" i="4"/>
  <c r="AL245" i="4"/>
  <c r="AL54" i="4"/>
  <c r="AL118" i="4"/>
  <c r="AL182" i="4"/>
  <c r="AL246" i="4"/>
  <c r="AL55" i="4"/>
  <c r="AL119" i="4"/>
  <c r="AL183" i="4"/>
  <c r="AL247" i="4"/>
  <c r="AL56" i="4"/>
  <c r="AL120" i="4"/>
  <c r="AL184" i="4"/>
  <c r="AL248" i="4"/>
  <c r="AL57" i="4"/>
  <c r="AL121" i="4"/>
  <c r="AL185" i="4"/>
  <c r="AL249" i="4"/>
  <c r="AL66" i="4"/>
  <c r="AL130" i="4"/>
  <c r="AL194" i="4"/>
  <c r="AL251" i="4"/>
  <c r="AL125" i="4"/>
  <c r="AL126" i="4"/>
  <c r="AL63" i="4"/>
  <c r="AL191" i="4"/>
  <c r="AL192" i="4"/>
  <c r="AL193" i="4"/>
  <c r="AL74" i="4"/>
  <c r="AL67" i="4"/>
  <c r="AL131" i="4"/>
  <c r="AL195" i="4"/>
  <c r="AL4" i="4"/>
  <c r="AL68" i="4"/>
  <c r="AL132" i="4"/>
  <c r="AL196" i="4"/>
  <c r="AL5" i="4"/>
  <c r="AL69" i="4"/>
  <c r="AL133" i="4"/>
  <c r="AL197" i="4"/>
  <c r="AL6" i="4"/>
  <c r="AL70" i="4"/>
  <c r="AL134" i="4"/>
  <c r="AL198" i="4"/>
  <c r="AL7" i="4"/>
  <c r="AL71" i="4"/>
  <c r="AL135" i="4"/>
  <c r="AL199" i="4"/>
  <c r="AL8" i="4"/>
  <c r="AL72" i="4"/>
  <c r="AL136" i="4"/>
  <c r="AL200" i="4"/>
  <c r="AL9" i="4"/>
  <c r="AL73" i="4"/>
  <c r="AL137" i="4"/>
  <c r="AL201" i="4"/>
  <c r="AL18" i="4"/>
  <c r="AL82" i="4"/>
  <c r="AL146" i="4"/>
  <c r="AL210" i="4"/>
  <c r="B6" i="6" l="1"/>
</calcChain>
</file>

<file path=xl/sharedStrings.xml><?xml version="1.0" encoding="utf-8"?>
<sst xmlns="http://schemas.openxmlformats.org/spreadsheetml/2006/main" count="1163" uniqueCount="556">
  <si>
    <t>PV</t>
  </si>
  <si>
    <t>Date</t>
  </si>
  <si>
    <t>S1</t>
  </si>
  <si>
    <t>S2</t>
  </si>
  <si>
    <t>S3</t>
  </si>
  <si>
    <t>S4</t>
  </si>
  <si>
    <t>S5</t>
  </si>
  <si>
    <t>S6</t>
  </si>
  <si>
    <t>S7</t>
  </si>
  <si>
    <t>S8</t>
  </si>
  <si>
    <t>S9</t>
  </si>
  <si>
    <t>S10</t>
  </si>
  <si>
    <t>S11</t>
  </si>
  <si>
    <t>S12</t>
  </si>
  <si>
    <t>S13</t>
  </si>
  <si>
    <t>S14</t>
  </si>
  <si>
    <t>S15</t>
  </si>
  <si>
    <t>S16</t>
  </si>
  <si>
    <t>S17</t>
  </si>
  <si>
    <t>S18</t>
  </si>
  <si>
    <t>S19</t>
  </si>
  <si>
    <t>S20</t>
  </si>
  <si>
    <t>S21</t>
  </si>
  <si>
    <t>S22</t>
  </si>
  <si>
    <t>S23</t>
  </si>
  <si>
    <t>S24</t>
  </si>
  <si>
    <t>S25</t>
  </si>
  <si>
    <t>S26</t>
  </si>
  <si>
    <t>S27</t>
  </si>
  <si>
    <t>S28</t>
  </si>
  <si>
    <t>S29</t>
  </si>
  <si>
    <t>S30</t>
  </si>
  <si>
    <t>S31</t>
  </si>
  <si>
    <t>S32</t>
  </si>
  <si>
    <t>S33</t>
  </si>
  <si>
    <t>S34</t>
  </si>
  <si>
    <t>S35</t>
  </si>
  <si>
    <t>S36</t>
  </si>
  <si>
    <t>S37</t>
  </si>
  <si>
    <t>S38</t>
  </si>
  <si>
    <t>S39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</si>
  <si>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</si>
  <si>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</si>
  <si>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</si>
  <si>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</si>
  <si>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</si>
  <si>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</si>
  <si>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</si>
  <si>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</si>
  <si>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</si>
  <si>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</si>
  <si>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</si>
  <si>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</si>
  <si>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</si>
  <si>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</si>
  <si>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</si>
  <si>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</si>
  <si>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</si>
  <si>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</si>
  <si>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</si>
  <si>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</si>
  <si>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</si>
  <si>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</si>
  <si>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</si>
  <si>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</si>
  <si>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</si>
  <si>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</si>
  <si>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</si>
  <si>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</si>
  <si>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</si>
  <si>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</si>
  <si>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</si>
  <si>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S71</t>
  </si>
  <si>
    <t>S72</t>
  </si>
  <si>
    <t>S73</t>
  </si>
  <si>
    <t>S74</t>
  </si>
  <si>
    <t>S75</t>
  </si>
  <si>
    <t>S76</t>
  </si>
  <si>
    <t>S77</t>
  </si>
  <si>
    <t>S78</t>
  </si>
  <si>
    <t>S79</t>
  </si>
  <si>
    <t>S80</t>
  </si>
  <si>
    <t>S81</t>
  </si>
  <si>
    <t>S82</t>
  </si>
  <si>
    <t>S83</t>
  </si>
  <si>
    <t>S84</t>
  </si>
  <si>
    <t>S85</t>
  </si>
  <si>
    <t>S86</t>
  </si>
  <si>
    <t>S87</t>
  </si>
  <si>
    <t>S88</t>
  </si>
  <si>
    <t>S89</t>
  </si>
  <si>
    <t>S90</t>
  </si>
  <si>
    <t>S91</t>
  </si>
  <si>
    <t>S92</t>
  </si>
  <si>
    <t>S93</t>
  </si>
  <si>
    <t>S94</t>
  </si>
  <si>
    <t>S95</t>
  </si>
  <si>
    <t>S96</t>
  </si>
  <si>
    <t>S97</t>
  </si>
  <si>
    <t>S98</t>
  </si>
  <si>
    <t>S99</t>
  </si>
  <si>
    <t>S100</t>
  </si>
  <si>
    <t>S101</t>
  </si>
  <si>
    <t>S102</t>
  </si>
  <si>
    <t>S103</t>
  </si>
  <si>
    <t>S104</t>
  </si>
  <si>
    <t>S105</t>
  </si>
  <si>
    <t>S106</t>
  </si>
  <si>
    <t>S107</t>
  </si>
  <si>
    <t>S108</t>
  </si>
  <si>
    <t>S109</t>
  </si>
  <si>
    <t>S110</t>
  </si>
  <si>
    <t>S111</t>
  </si>
  <si>
    <t>S112</t>
  </si>
  <si>
    <t>S113</t>
  </si>
  <si>
    <t>S114</t>
  </si>
  <si>
    <t>S115</t>
  </si>
  <si>
    <t>S116</t>
  </si>
  <si>
    <t>S117</t>
  </si>
  <si>
    <t>S118</t>
  </si>
  <si>
    <t>S119</t>
  </si>
  <si>
    <t>S120</t>
  </si>
  <si>
    <t>S121</t>
  </si>
  <si>
    <t>S122</t>
  </si>
  <si>
    <t>S123</t>
  </si>
  <si>
    <t>S124</t>
  </si>
  <si>
    <t>S125</t>
  </si>
  <si>
    <t>S126</t>
  </si>
  <si>
    <t>S127</t>
  </si>
  <si>
    <t>S128</t>
  </si>
  <si>
    <t>S129</t>
  </si>
  <si>
    <t>S130</t>
  </si>
  <si>
    <t>S131</t>
  </si>
  <si>
    <t>S132</t>
  </si>
  <si>
    <t>S133</t>
  </si>
  <si>
    <t>S134</t>
  </si>
  <si>
    <t>S135</t>
  </si>
  <si>
    <t>S136</t>
  </si>
  <si>
    <t>S137</t>
  </si>
  <si>
    <t>S138</t>
  </si>
  <si>
    <t>S139</t>
  </si>
  <si>
    <t>S140</t>
  </si>
  <si>
    <t>S141</t>
  </si>
  <si>
    <t>S142</t>
  </si>
  <si>
    <t>S143</t>
  </si>
  <si>
    <t>S144</t>
  </si>
  <si>
    <t>S145</t>
  </si>
  <si>
    <t>S146</t>
  </si>
  <si>
    <t>S147</t>
  </si>
  <si>
    <t>S148</t>
  </si>
  <si>
    <t>S149</t>
  </si>
  <si>
    <t>S150</t>
  </si>
  <si>
    <t>S151</t>
  </si>
  <si>
    <t>S152</t>
  </si>
  <si>
    <t>S153</t>
  </si>
  <si>
    <t>S154</t>
  </si>
  <si>
    <t>S155</t>
  </si>
  <si>
    <t>S156</t>
  </si>
  <si>
    <t>S157</t>
  </si>
  <si>
    <t>S158</t>
  </si>
  <si>
    <t>S159</t>
  </si>
  <si>
    <t>S160</t>
  </si>
  <si>
    <t>S161</t>
  </si>
  <si>
    <t>S162</t>
  </si>
  <si>
    <t>S163</t>
  </si>
  <si>
    <t>S164</t>
  </si>
  <si>
    <t>S165</t>
  </si>
  <si>
    <t>S166</t>
  </si>
  <si>
    <t>S167</t>
  </si>
  <si>
    <t>S168</t>
  </si>
  <si>
    <t>S169</t>
  </si>
  <si>
    <t>S170</t>
  </si>
  <si>
    <t>S171</t>
  </si>
  <si>
    <t>S172</t>
  </si>
  <si>
    <t>S173</t>
  </si>
  <si>
    <t>S174</t>
  </si>
  <si>
    <t>S175</t>
  </si>
  <si>
    <t>S176</t>
  </si>
  <si>
    <t>S177</t>
  </si>
  <si>
    <t>S178</t>
  </si>
  <si>
    <t>S179</t>
  </si>
  <si>
    <t>S180</t>
  </si>
  <si>
    <t>S181</t>
  </si>
  <si>
    <t>S182</t>
  </si>
  <si>
    <t>S183</t>
  </si>
  <si>
    <t>S184</t>
  </si>
  <si>
    <t>S185</t>
  </si>
  <si>
    <t>S186</t>
  </si>
  <si>
    <t>S187</t>
  </si>
  <si>
    <t>S188</t>
  </si>
  <si>
    <t>S189</t>
  </si>
  <si>
    <t>S190</t>
  </si>
  <si>
    <t>S191</t>
  </si>
  <si>
    <t>S192</t>
  </si>
  <si>
    <t>S193</t>
  </si>
  <si>
    <t>S194</t>
  </si>
  <si>
    <t>S195</t>
  </si>
  <si>
    <t>S196</t>
  </si>
  <si>
    <t>S197</t>
  </si>
  <si>
    <t>S198</t>
  </si>
  <si>
    <t>S199</t>
  </si>
  <si>
    <t>S200</t>
  </si>
  <si>
    <t>S201</t>
  </si>
  <si>
    <t>S202</t>
  </si>
  <si>
    <t>S203</t>
  </si>
  <si>
    <t>S204</t>
  </si>
  <si>
    <t>S205</t>
  </si>
  <si>
    <t>S206</t>
  </si>
  <si>
    <t>S207</t>
  </si>
  <si>
    <t>S208</t>
  </si>
  <si>
    <t>S209</t>
  </si>
  <si>
    <t>S210</t>
  </si>
  <si>
    <t>S211</t>
  </si>
  <si>
    <t>S212</t>
  </si>
  <si>
    <t>S213</t>
  </si>
  <si>
    <t>S214</t>
  </si>
  <si>
    <t>S215</t>
  </si>
  <si>
    <t>S216</t>
  </si>
  <si>
    <t>S217</t>
  </si>
  <si>
    <t>S218</t>
  </si>
  <si>
    <t>S219</t>
  </si>
  <si>
    <t>S220</t>
  </si>
  <si>
    <t>S221</t>
  </si>
  <si>
    <t>S222</t>
  </si>
  <si>
    <t>S223</t>
  </si>
  <si>
    <t>S224</t>
  </si>
  <si>
    <t>S225</t>
  </si>
  <si>
    <t>S226</t>
  </si>
  <si>
    <t>S227</t>
  </si>
  <si>
    <t>S228</t>
  </si>
  <si>
    <t>S229</t>
  </si>
  <si>
    <t>S230</t>
  </si>
  <si>
    <t>S231</t>
  </si>
  <si>
    <t>S232</t>
  </si>
  <si>
    <t>S233</t>
  </si>
  <si>
    <t>S234</t>
  </si>
  <si>
    <t>S235</t>
  </si>
  <si>
    <t>S236</t>
  </si>
  <si>
    <t>S237</t>
  </si>
  <si>
    <t>S238</t>
  </si>
  <si>
    <t>S239</t>
  </si>
  <si>
    <t>S240</t>
  </si>
  <si>
    <t>S241</t>
  </si>
  <si>
    <t>S242</t>
  </si>
  <si>
    <t>S243</t>
  </si>
  <si>
    <t>S244</t>
  </si>
  <si>
    <t>S245</t>
  </si>
  <si>
    <t>S246</t>
  </si>
  <si>
    <t>S247</t>
  </si>
  <si>
    <t>S248</t>
  </si>
  <si>
    <t>S249</t>
  </si>
  <si>
    <t>S250</t>
  </si>
  <si>
    <t>VaR/PV</t>
  </si>
  <si>
    <t>VaR</t>
  </si>
  <si>
    <t>İşlem No</t>
  </si>
  <si>
    <t>Şirket</t>
  </si>
  <si>
    <t>İşlem Tarihi</t>
  </si>
  <si>
    <t>DATA</t>
  </si>
  <si>
    <t>YIELD</t>
  </si>
  <si>
    <t>SIMULATION</t>
  </si>
  <si>
    <t>Şube</t>
  </si>
  <si>
    <t>Portföy</t>
  </si>
  <si>
    <t>Portföy Sahibi Müdürlük</t>
  </si>
  <si>
    <t>Portföy Sahibi Masa</t>
  </si>
  <si>
    <t>Trader</t>
  </si>
  <si>
    <t>İşlem Amacı</t>
  </si>
  <si>
    <t>Portföy Tipi</t>
  </si>
  <si>
    <t>Karşı Taraf</t>
  </si>
  <si>
    <t>Tutar</t>
  </si>
  <si>
    <t>TRADING</t>
  </si>
  <si>
    <t>S251</t>
  </si>
  <si>
    <t>Expected Shortfall</t>
  </si>
  <si>
    <t>Varlık</t>
  </si>
  <si>
    <t>Alım/Satım</t>
  </si>
  <si>
    <t>RiskActive</t>
  </si>
  <si>
    <t/>
  </si>
  <si>
    <t>HALKB</t>
  </si>
  <si>
    <t>02.01.2017</t>
  </si>
  <si>
    <t>BUY</t>
  </si>
  <si>
    <t>KRDMD</t>
  </si>
  <si>
    <t>VAKBN</t>
  </si>
  <si>
    <t>GARAN</t>
  </si>
  <si>
    <t>THYAO</t>
  </si>
  <si>
    <t>KLNMA</t>
  </si>
  <si>
    <t>YKBNK</t>
  </si>
  <si>
    <t>30.12.2016</t>
  </si>
  <si>
    <t>29.12.2016</t>
  </si>
  <si>
    <t>28.12.2016</t>
  </si>
  <si>
    <t>27.12.2016</t>
  </si>
  <si>
    <t>26.12.2016</t>
  </si>
  <si>
    <t>23.12.2016</t>
  </si>
  <si>
    <t>22.12.2016</t>
  </si>
  <si>
    <t>21.12.2016</t>
  </si>
  <si>
    <t>20.12.2016</t>
  </si>
  <si>
    <t>19.12.2016</t>
  </si>
  <si>
    <t>16.12.2016</t>
  </si>
  <si>
    <t>15.12.2016</t>
  </si>
  <si>
    <t>14.12.2016</t>
  </si>
  <si>
    <t>13.12.2016</t>
  </si>
  <si>
    <t>12.12.2016</t>
  </si>
  <si>
    <t>09.12.2016</t>
  </si>
  <si>
    <t>08.12.2016</t>
  </si>
  <si>
    <t>07.12.2016</t>
  </si>
  <si>
    <t>06.12.2016</t>
  </si>
  <si>
    <t>05.12.2016</t>
  </si>
  <si>
    <t>02.12.2016</t>
  </si>
  <si>
    <t>01.12.2016</t>
  </si>
  <si>
    <t>30.11.2016</t>
  </si>
  <si>
    <t>29.11.2016</t>
  </si>
  <si>
    <t>28.11.2016</t>
  </si>
  <si>
    <t>25.11.2016</t>
  </si>
  <si>
    <t>24.11.2016</t>
  </si>
  <si>
    <t>23.11.2016</t>
  </si>
  <si>
    <t>22.11.2016</t>
  </si>
  <si>
    <t>21.11.2016</t>
  </si>
  <si>
    <t>18.11.2016</t>
  </si>
  <si>
    <t>17.11.2016</t>
  </si>
  <si>
    <t>16.11.2016</t>
  </si>
  <si>
    <t>15.11.2016</t>
  </si>
  <si>
    <t>14.11.2016</t>
  </si>
  <si>
    <t>11.11.2016</t>
  </si>
  <si>
    <t>10.11.2016</t>
  </si>
  <si>
    <t>09.11.2016</t>
  </si>
  <si>
    <t>08.11.2016</t>
  </si>
  <si>
    <t>07.11.2016</t>
  </si>
  <si>
    <t>04.11.2016</t>
  </si>
  <si>
    <t>03.11.2016</t>
  </si>
  <si>
    <t>02.11.2016</t>
  </si>
  <si>
    <t>01.11.2016</t>
  </si>
  <si>
    <t>31.10.2016</t>
  </si>
  <si>
    <t>28.10.2016</t>
  </si>
  <si>
    <t>27.10.2016</t>
  </si>
  <si>
    <t>26.10.2016</t>
  </si>
  <si>
    <t>25.10.2016</t>
  </si>
  <si>
    <t>24.10.2016</t>
  </si>
  <si>
    <t>21.10.2016</t>
  </si>
  <si>
    <t>20.10.2016</t>
  </si>
  <si>
    <t>19.10.2016</t>
  </si>
  <si>
    <t>18.10.2016</t>
  </si>
  <si>
    <t>17.10.2016</t>
  </si>
  <si>
    <t>14.10.2016</t>
  </si>
  <si>
    <t>13.10.2016</t>
  </si>
  <si>
    <t>12.10.2016</t>
  </si>
  <si>
    <t>11.10.2016</t>
  </si>
  <si>
    <t>10.10.2016</t>
  </si>
  <si>
    <t>07.10.2016</t>
  </si>
  <si>
    <t>06.10.2016</t>
  </si>
  <si>
    <t>05.10.2016</t>
  </si>
  <si>
    <t>04.10.2016</t>
  </si>
  <si>
    <t>03.10.2016</t>
  </si>
  <si>
    <t>30.09.2016</t>
  </si>
  <si>
    <t>29.09.2016</t>
  </si>
  <si>
    <t>28.09.2016</t>
  </si>
  <si>
    <t>27.09.2016</t>
  </si>
  <si>
    <t>26.09.2016</t>
  </si>
  <si>
    <t>23.09.2016</t>
  </si>
  <si>
    <t>22.09.2016</t>
  </si>
  <si>
    <t>21.09.2016</t>
  </si>
  <si>
    <t>20.09.2016</t>
  </si>
  <si>
    <t>19.09.2016</t>
  </si>
  <si>
    <t>16.09.2016</t>
  </si>
  <si>
    <t>09.09.2016</t>
  </si>
  <si>
    <t>08.09.2016</t>
  </si>
  <si>
    <t>07.09.2016</t>
  </si>
  <si>
    <t>06.09.2016</t>
  </si>
  <si>
    <t>05.09.2016</t>
  </si>
  <si>
    <t>02.09.2016</t>
  </si>
  <si>
    <t>01.09.2016</t>
  </si>
  <si>
    <t>31.08.2016</t>
  </si>
  <si>
    <t>29.08.2016</t>
  </si>
  <si>
    <t>26.08.2016</t>
  </si>
  <si>
    <t>25.08.2016</t>
  </si>
  <si>
    <t>24.08.2016</t>
  </si>
  <si>
    <t>23.08.2016</t>
  </si>
  <si>
    <t>22.08.2016</t>
  </si>
  <si>
    <t>19.08.2016</t>
  </si>
  <si>
    <t>18.08.2016</t>
  </si>
  <si>
    <t>17.08.2016</t>
  </si>
  <si>
    <t>16.08.2016</t>
  </si>
  <si>
    <t>15.08.2016</t>
  </si>
  <si>
    <t>12.08.2016</t>
  </si>
  <si>
    <t>11.08.2016</t>
  </si>
  <si>
    <t>10.08.2016</t>
  </si>
  <si>
    <t>09.08.2016</t>
  </si>
  <si>
    <t>08.08.2016</t>
  </si>
  <si>
    <t>05.08.2016</t>
  </si>
  <si>
    <t>04.08.2016</t>
  </si>
  <si>
    <t>03.08.2016</t>
  </si>
  <si>
    <t>02.08.2016</t>
  </si>
  <si>
    <t>01.08.2016</t>
  </si>
  <si>
    <t>29.07.2016</t>
  </si>
  <si>
    <t>28.07.2016</t>
  </si>
  <si>
    <t>27.07.2016</t>
  </si>
  <si>
    <t>26.07.2016</t>
  </si>
  <si>
    <t>25.07.2016</t>
  </si>
  <si>
    <t>22.07.2016</t>
  </si>
  <si>
    <t>21.07.2016</t>
  </si>
  <si>
    <t>20.07.2016</t>
  </si>
  <si>
    <t>19.07.2016</t>
  </si>
  <si>
    <t>18.07.2016</t>
  </si>
  <si>
    <t>15.07.2016</t>
  </si>
  <si>
    <t>14.07.2016</t>
  </si>
  <si>
    <t>13.07.2016</t>
  </si>
  <si>
    <t>12.07.2016</t>
  </si>
  <si>
    <t>11.07.2016</t>
  </si>
  <si>
    <t>08.07.2016</t>
  </si>
  <si>
    <t>04.07.2016</t>
  </si>
  <si>
    <t>01.07.2016</t>
  </si>
  <si>
    <t>30.06.2016</t>
  </si>
  <si>
    <t>29.06.2016</t>
  </si>
  <si>
    <t>28.06.2016</t>
  </si>
  <si>
    <t>27.06.2016</t>
  </si>
  <si>
    <t>24.06.2016</t>
  </si>
  <si>
    <t>23.06.2016</t>
  </si>
  <si>
    <t>22.06.2016</t>
  </si>
  <si>
    <t>21.06.2016</t>
  </si>
  <si>
    <t>20.06.2016</t>
  </si>
  <si>
    <t>17.06.2016</t>
  </si>
  <si>
    <t>16.06.2016</t>
  </si>
  <si>
    <t>15.06.2016</t>
  </si>
  <si>
    <t>14.06.2016</t>
  </si>
  <si>
    <t>13.06.2016</t>
  </si>
  <si>
    <t>10.06.2016</t>
  </si>
  <si>
    <t>09.06.2016</t>
  </si>
  <si>
    <t>08.06.2016</t>
  </si>
  <si>
    <t>07.06.2016</t>
  </si>
  <si>
    <t>06.06.2016</t>
  </si>
  <si>
    <t>03.06.2016</t>
  </si>
  <si>
    <t>02.06.2016</t>
  </si>
  <si>
    <t>01.06.2016</t>
  </si>
  <si>
    <t>31.05.2016</t>
  </si>
  <si>
    <t>30.05.2016</t>
  </si>
  <si>
    <t>27.05.2016</t>
  </si>
  <si>
    <t>26.05.2016</t>
  </si>
  <si>
    <t>25.05.2016</t>
  </si>
  <si>
    <t>24.05.2016</t>
  </si>
  <si>
    <t>23.05.2016</t>
  </si>
  <si>
    <t>20.05.2016</t>
  </si>
  <si>
    <t>18.05.2016</t>
  </si>
  <si>
    <t>17.05.2016</t>
  </si>
  <si>
    <t>16.05.2016</t>
  </si>
  <si>
    <t>13.05.2016</t>
  </si>
  <si>
    <t>12.05.2016</t>
  </si>
  <si>
    <t>11.05.2016</t>
  </si>
  <si>
    <t>10.05.2016</t>
  </si>
  <si>
    <t>09.05.2016</t>
  </si>
  <si>
    <t>06.05.2016</t>
  </si>
  <si>
    <t>05.05.2016</t>
  </si>
  <si>
    <t>04.05.2016</t>
  </si>
  <si>
    <t>03.05.2016</t>
  </si>
  <si>
    <t>02.05.2016</t>
  </si>
  <si>
    <t>29.04.2016</t>
  </si>
  <si>
    <t>28.04.2016</t>
  </si>
  <si>
    <t>27.04.2016</t>
  </si>
  <si>
    <t>26.04.2016</t>
  </si>
  <si>
    <t>25.04.2016</t>
  </si>
  <si>
    <t>22.04.2016</t>
  </si>
  <si>
    <t>21.04.2016</t>
  </si>
  <si>
    <t>20.04.2016</t>
  </si>
  <si>
    <t>19.04.2016</t>
  </si>
  <si>
    <t>18.04.2016</t>
  </si>
  <si>
    <t>15.04.2016</t>
  </si>
  <si>
    <t>14.04.2016</t>
  </si>
  <si>
    <t>13.04.2016</t>
  </si>
  <si>
    <t>12.04.2016</t>
  </si>
  <si>
    <t>11.04.2016</t>
  </si>
  <si>
    <t>08.04.2016</t>
  </si>
  <si>
    <t>07.04.2016</t>
  </si>
  <si>
    <t>06.04.2016</t>
  </si>
  <si>
    <t>05.04.2016</t>
  </si>
  <si>
    <t>04.04.2016</t>
  </si>
  <si>
    <t>01.04.2016</t>
  </si>
  <si>
    <t>31.03.2016</t>
  </si>
  <si>
    <t>30.03.2016</t>
  </si>
  <si>
    <t>29.03.2016</t>
  </si>
  <si>
    <t>28.03.2016</t>
  </si>
  <si>
    <t>25.03.2016</t>
  </si>
  <si>
    <t>24.03.2016</t>
  </si>
  <si>
    <t>23.03.2016</t>
  </si>
  <si>
    <t>22.03.2016</t>
  </si>
  <si>
    <t>21.03.2016</t>
  </si>
  <si>
    <t>18.03.2016</t>
  </si>
  <si>
    <t>17.03.2016</t>
  </si>
  <si>
    <t>16.03.2016</t>
  </si>
  <si>
    <t>15.03.2016</t>
  </si>
  <si>
    <t>14.03.2016</t>
  </si>
  <si>
    <t>11.03.2016</t>
  </si>
  <si>
    <t>10.03.2016</t>
  </si>
  <si>
    <t>09.03.2016</t>
  </si>
  <si>
    <t>08.03.2016</t>
  </si>
  <si>
    <t>07.03.2016</t>
  </si>
  <si>
    <t>04.03.2016</t>
  </si>
  <si>
    <t>03.03.2016</t>
  </si>
  <si>
    <t>02.03.2016</t>
  </si>
  <si>
    <t>01.03.2016</t>
  </si>
  <si>
    <t>29.02.2016</t>
  </si>
  <si>
    <t>26.02.2016</t>
  </si>
  <si>
    <t>25.02.2016</t>
  </si>
  <si>
    <t>24.02.2016</t>
  </si>
  <si>
    <t>23.02.2016</t>
  </si>
  <si>
    <t>22.02.2016</t>
  </si>
  <si>
    <t>19.02.2016</t>
  </si>
  <si>
    <t>18.02.2016</t>
  </si>
  <si>
    <t>17.02.2016</t>
  </si>
  <si>
    <t>16.02.2016</t>
  </si>
  <si>
    <t>15.02.2016</t>
  </si>
  <si>
    <t>12.02.2016</t>
  </si>
  <si>
    <t>11.02.2016</t>
  </si>
  <si>
    <t>10.02.2016</t>
  </si>
  <si>
    <t>09.02.2016</t>
  </si>
  <si>
    <t>08.02.2016</t>
  </si>
  <si>
    <t>05.02.2016</t>
  </si>
  <si>
    <t>04.02.2016</t>
  </si>
  <si>
    <t>03.02.2016</t>
  </si>
  <si>
    <t>02.02.2016</t>
  </si>
  <si>
    <t>01.02.2016</t>
  </si>
  <si>
    <t>29.01.2016</t>
  </si>
  <si>
    <t>28.01.2016</t>
  </si>
  <si>
    <t>27.01.2016</t>
  </si>
  <si>
    <t>26.01.2016</t>
  </si>
  <si>
    <t>25.01.2016</t>
  </si>
  <si>
    <t>22.01.2016</t>
  </si>
  <si>
    <t>21.01.2016</t>
  </si>
  <si>
    <t>20.01.2016</t>
  </si>
  <si>
    <t>19.01.2016</t>
  </si>
  <si>
    <t>18.01.2016</t>
  </si>
  <si>
    <t>15.01.2016</t>
  </si>
  <si>
    <t>14.01.2016</t>
  </si>
  <si>
    <t>13.01.2016</t>
  </si>
  <si>
    <t>12.01.2016</t>
  </si>
  <si>
    <t>11.01.2016</t>
  </si>
  <si>
    <t>08.01.2016</t>
  </si>
  <si>
    <t>07.01.2016</t>
  </si>
  <si>
    <t>06.01.2016</t>
  </si>
  <si>
    <t>05.01.2016</t>
  </si>
  <si>
    <t>04.01.2016</t>
  </si>
  <si>
    <t>S252</t>
  </si>
  <si>
    <t>PL</t>
  </si>
  <si>
    <t>AMOUNT</t>
  </si>
  <si>
    <t>TOTAL</t>
  </si>
  <si>
    <t>RISKACTIVE</t>
  </si>
  <si>
    <t>SORTED</t>
  </si>
  <si>
    <t>GARAN|IMKB|TRY|</t>
  </si>
  <si>
    <t>HALKB|IMKB|TRY|</t>
  </si>
  <si>
    <t>KLNMA|IMKB|TRY|</t>
  </si>
  <si>
    <t>KRDMD|IMKB|TRY|</t>
  </si>
  <si>
    <t>THYAO|IMKB|TRY|</t>
  </si>
  <si>
    <t>VAKBN|IMKB|TRY|</t>
  </si>
  <si>
    <t>YKBNK|IMKB|TRY|</t>
  </si>
  <si>
    <t>GARAN TRY</t>
  </si>
  <si>
    <t>HALKB TRY</t>
  </si>
  <si>
    <t>KLNMA TRY</t>
  </si>
  <si>
    <t>KRDMD TRY</t>
  </si>
  <si>
    <t>THYAO TRY</t>
  </si>
  <si>
    <t>VAKBN TRY</t>
  </si>
  <si>
    <t>YKBNK TRY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</si>
</sst>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_-* #,##0.00\ _₺_-;\-* #,##0.00\ _₺_-;_-* &quot;-&quot;??\ _₺_-;_-@_-"/>
    <numFmt numFmtId="165" formatCode="0.0000"/>
    <numFmt numFmtId="166" formatCode="0.000000"/>
    <numFmt numFmtId="167" formatCode="0.0000000"/>
    <numFmt numFmtId="168" formatCode="0.00000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color rgb="FF2779AA"/>
      <name val="Lucida Sans"/>
      <family val="2"/>
    </font>
    <font>
      <sz val="9"/>
      <color rgb="FF362B36"/>
      <name val="Lucida Sans"/>
      <family val="2"/>
    </font>
    <font>
      <sz val="11"/>
      <color indexed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D7EBF9"/>
        <bgColor indexed="64"/>
      </patternFill>
    </fill>
    <fill>
      <patternFill patternType="solid">
        <fgColor rgb="FFF2F5F7"/>
        <bgColor indexed="64"/>
      </patternFill>
    </fill>
  </fills>
  <borders count="3">
    <border>
      <left/>
      <right/>
      <top/>
      <bottom/>
      <diagonal/>
    </border>
    <border>
      <left style="medium">
        <color rgb="FFAED0EA"/>
      </left>
      <right style="medium">
        <color rgb="FFAED0EA"/>
      </right>
      <top style="medium">
        <color rgb="FFAED0EA"/>
      </top>
      <bottom style="medium">
        <color rgb="FFAED0EA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rgb="FFDDDDDD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4" fillId="0" borderId="0"/>
  </cellStyleXfs>
  <cellXfs count="17">
    <xf numFmtId="0" fontId="0" fillId="0" borderId="0" xfId="0"/>
    <xf numFmtId="0" fontId="0" fillId="2" borderId="0" xfId="0" applyFill="1"/>
    <xf numFmtId="165" fontId="0" fillId="2" borderId="0" xfId="0" applyNumberFormat="1" applyFill="1"/>
    <xf numFmtId="166" fontId="0" fillId="2" borderId="0" xfId="0" applyNumberFormat="1" applyFill="1"/>
    <xf numFmtId="0" fontId="2" fillId="3" borderId="1" xfId="0" applyFont="1" applyFill="1" applyBorder="1" applyAlignment="1">
      <alignment horizontal="center" vertical="center" wrapText="1"/>
    </xf>
    <xf numFmtId="4" fontId="3" fillId="4" borderId="2" xfId="0" applyNumberFormat="1" applyFont="1" applyFill="1" applyBorder="1" applyAlignment="1">
      <alignment horizontal="right" wrapText="1" indent="1"/>
    </xf>
    <xf numFmtId="0" fontId="3" fillId="4" borderId="2" xfId="0" applyFont="1" applyFill="1" applyBorder="1" applyAlignment="1">
      <alignment horizontal="right" wrapText="1" indent="1"/>
    </xf>
    <xf numFmtId="0" fontId="3" fillId="4" borderId="2" xfId="0" applyFont="1" applyFill="1" applyBorder="1" applyAlignment="1">
      <alignment horizontal="left" wrapText="1" indent="1"/>
    </xf>
    <xf numFmtId="14" fontId="3" fillId="4" borderId="2" xfId="0" applyNumberFormat="1" applyFont="1" applyFill="1" applyBorder="1" applyAlignment="1">
      <alignment horizontal="right" wrapText="1" indent="1"/>
    </xf>
    <xf numFmtId="167" fontId="3" fillId="4" borderId="2" xfId="0" applyNumberFormat="1" applyFont="1" applyFill="1" applyBorder="1" applyAlignment="1">
      <alignment horizontal="left" wrapText="1" indent="1"/>
    </xf>
    <xf numFmtId="167" fontId="3" fillId="4" borderId="2" xfId="0" applyNumberFormat="1" applyFont="1" applyFill="1" applyBorder="1" applyAlignment="1">
      <alignment horizontal="right" wrapText="1" indent="1"/>
    </xf>
    <xf numFmtId="168" fontId="3" fillId="4" borderId="2" xfId="0" applyNumberFormat="1" applyFont="1" applyFill="1" applyBorder="1" applyAlignment="1">
      <alignment horizontal="right" wrapText="1" indent="1"/>
    </xf>
    <xf numFmtId="164" fontId="3" fillId="4" borderId="2" xfId="2" applyFont="1" applyFill="1" applyBorder="1" applyAlignment="1">
      <alignment horizontal="left" wrapText="1" indent="1"/>
    </xf>
    <xf numFmtId="10" fontId="3" fillId="4" borderId="2" xfId="1" applyNumberFormat="1" applyFont="1" applyFill="1" applyBorder="1" applyAlignment="1">
      <alignment horizontal="left" wrapText="1" indent="1"/>
    </xf>
    <xf numFmtId="167" fontId="3" fillId="4" borderId="0" xfId="0" applyNumberFormat="1" applyFont="1" applyFill="1" applyBorder="1" applyAlignment="1">
      <alignment horizontal="right" wrapText="1" indent="1"/>
    </xf>
    <xf numFmtId="168" fontId="3" fillId="4" borderId="2" xfId="0" applyNumberFormat="1" applyFont="1" applyFill="1" applyBorder="1" applyAlignment="1">
      <alignment horizontal="right" wrapText="1"/>
    </xf>
    <xf numFmtId="4" fontId="3" fillId="4" borderId="2" xfId="0" applyNumberFormat="1" applyFont="1" applyFill="1" applyBorder="1" applyAlignment="1">
      <alignment horizontal="right" wrapText="1"/>
    </xf>
  </cellXfs>
  <cellStyles count="4">
    <cellStyle name="Comma" xfId="2" builtinId="3"/>
    <cellStyle name="Normal" xfId="0" builtinId="0"/>
    <cellStyle name="Normal 2" xfId="3" xr:uid="{00000000-0005-0000-0000-000002000000}"/>
    <cellStyle name="Percent" xfId="1" builtinId="5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297180</xdr:colOff>
      <xdr:row>9</xdr:row>
      <xdr:rowOff>84208</xdr:rowOff>
    </xdr:from>
    <xdr:to>
      <xdr:col>15</xdr:col>
      <xdr:colOff>510540</xdr:colOff>
      <xdr:row>18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9DA5A9F-8558-4657-B65E-D846AFDA681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8211" t="73484" r="14587" b="6242"/>
        <a:stretch/>
      </xdr:blipFill>
      <xdr:spPr>
        <a:xfrm>
          <a:off x="297180" y="1874908"/>
          <a:ext cx="10355580" cy="167601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U27"/>
  <sheetViews>
    <sheetView showGridLines="0" topLeftCell="I1" workbookViewId="0">
      <selection activeCell="R20" sqref="R20"/>
    </sheetView>
  </sheetViews>
  <sheetFormatPr defaultColWidth="12.5546875" defaultRowHeight="14.4" x14ac:dyDescent="0.3"/>
  <cols>
    <col min="1" max="1" width="14.88671875" style="1" bestFit="1" customWidth="1"/>
    <col min="2" max="2" width="11.33203125" style="1" bestFit="1" customWidth="1"/>
    <col min="3" max="3" width="11.88671875" style="1" bestFit="1" customWidth="1"/>
    <col min="4" max="4" width="13.33203125" style="1" customWidth="1"/>
    <col min="5" max="5" width="22.6640625" style="1" bestFit="1" customWidth="1"/>
    <col min="6" max="6" width="19.33203125" style="1" bestFit="1" customWidth="1"/>
    <col min="7" max="7" width="10.109375" style="1" bestFit="1" customWidth="1"/>
    <col min="8" max="8" width="12.33203125" style="1" bestFit="1" customWidth="1"/>
    <col min="9" max="9" width="12.109375" style="1" bestFit="1" customWidth="1"/>
    <col min="10" max="10" width="11.5546875" style="1" bestFit="1" customWidth="1"/>
    <col min="11" max="11" width="12.88671875" style="1" bestFit="1" customWidth="1"/>
    <col min="12" max="12" width="9.109375" style="1" bestFit="1" customWidth="1"/>
    <col min="13" max="13" width="12" style="1" bestFit="1" customWidth="1"/>
    <col min="14" max="14" width="10.88671875" style="1" bestFit="1" customWidth="1"/>
    <col min="15" max="15" width="10.88671875" customWidth="1"/>
    <col min="17" max="17" width="24" style="1" bestFit="1" customWidth="1"/>
    <col min="18" max="18" width="31" style="1" customWidth="1"/>
    <col min="19" max="19" width="19.44140625" style="1" customWidth="1"/>
    <col min="20" max="21" width="15.88671875" style="1" bestFit="1" customWidth="1"/>
    <col min="22" max="16384" width="12.5546875" style="1"/>
  </cols>
  <sheetData>
    <row r="1" spans="1:21" ht="15" thickBot="1" x14ac:dyDescent="0.35">
      <c r="A1" s="4" t="s">
        <v>254</v>
      </c>
      <c r="B1" s="4" t="s">
        <v>255</v>
      </c>
      <c r="C1" s="4" t="s">
        <v>260</v>
      </c>
      <c r="D1" s="4" t="s">
        <v>261</v>
      </c>
      <c r="E1" s="4" t="s">
        <v>262</v>
      </c>
      <c r="F1" s="4" t="s">
        <v>263</v>
      </c>
      <c r="G1" s="4" t="s">
        <v>264</v>
      </c>
      <c r="H1" s="4" t="s">
        <v>265</v>
      </c>
      <c r="I1" s="4" t="s">
        <v>266</v>
      </c>
      <c r="J1" s="4" t="s">
        <v>267</v>
      </c>
      <c r="K1" s="4" t="s">
        <v>256</v>
      </c>
      <c r="L1" s="4" t="s">
        <v>272</v>
      </c>
      <c r="M1" s="4" t="s">
        <v>273</v>
      </c>
      <c r="N1" s="4" t="s">
        <v>268</v>
      </c>
    </row>
    <row r="2" spans="1:21" ht="20.25" customHeight="1" thickBot="1" x14ac:dyDescent="0.35">
      <c r="A2" s="6">
        <v>1486966458549</v>
      </c>
      <c r="B2" s="5" t="s">
        <v>274</v>
      </c>
      <c r="C2" s="5" t="s">
        <v>274</v>
      </c>
      <c r="D2" s="7" t="s">
        <v>540</v>
      </c>
      <c r="E2" s="5" t="s">
        <v>540</v>
      </c>
      <c r="F2" s="5" t="s">
        <v>540</v>
      </c>
      <c r="G2" s="6" t="s">
        <v>275</v>
      </c>
      <c r="H2" s="8" t="s">
        <v>275</v>
      </c>
      <c r="I2" s="5" t="s">
        <v>269</v>
      </c>
      <c r="J2" s="7" t="s">
        <v>281</v>
      </c>
      <c r="K2" s="7" t="s">
        <v>277</v>
      </c>
      <c r="L2" s="7" t="s">
        <v>281</v>
      </c>
      <c r="M2" s="7" t="s">
        <v>278</v>
      </c>
      <c r="N2" s="7">
        <v>144000</v>
      </c>
    </row>
    <row r="3" spans="1:21" ht="20.25" customHeight="1" thickBot="1" x14ac:dyDescent="0.35">
      <c r="A3" s="6">
        <v>1486966458190</v>
      </c>
      <c r="B3" s="5" t="s">
        <v>274</v>
      </c>
      <c r="C3" s="5" t="s">
        <v>274</v>
      </c>
      <c r="D3" s="7" t="s">
        <v>540</v>
      </c>
      <c r="E3" s="5" t="s">
        <v>540</v>
      </c>
      <c r="F3" s="5" t="s">
        <v>540</v>
      </c>
      <c r="G3" s="6" t="s">
        <v>275</v>
      </c>
      <c r="H3" s="8" t="s">
        <v>275</v>
      </c>
      <c r="I3" s="5" t="s">
        <v>269</v>
      </c>
      <c r="J3" s="7" t="s">
        <v>276</v>
      </c>
      <c r="K3" s="7" t="s">
        <v>277</v>
      </c>
      <c r="L3" s="7" t="s">
        <v>276</v>
      </c>
      <c r="M3" s="7" t="s">
        <v>278</v>
      </c>
      <c r="N3" s="7">
        <v>25000</v>
      </c>
      <c r="R3" s="4" t="s">
        <v>1</v>
      </c>
      <c r="S3" s="8">
        <v>42737</v>
      </c>
      <c r="T3" s="8" t="s">
        <v>0</v>
      </c>
      <c r="U3" s="8" t="s">
        <v>538</v>
      </c>
    </row>
    <row r="4" spans="1:21" ht="15" thickBot="1" x14ac:dyDescent="0.35">
      <c r="A4" s="6">
        <v>1486966458252</v>
      </c>
      <c r="B4" s="5" t="s">
        <v>274</v>
      </c>
      <c r="C4" s="5" t="s">
        <v>274</v>
      </c>
      <c r="D4" s="7" t="s">
        <v>540</v>
      </c>
      <c r="E4" s="5" t="s">
        <v>540</v>
      </c>
      <c r="F4" s="5" t="s">
        <v>540</v>
      </c>
      <c r="G4" s="6" t="s">
        <v>275</v>
      </c>
      <c r="H4" s="8" t="s">
        <v>275</v>
      </c>
      <c r="I4" s="5" t="s">
        <v>269</v>
      </c>
      <c r="J4" s="7" t="s">
        <v>283</v>
      </c>
      <c r="K4" s="7" t="s">
        <v>277</v>
      </c>
      <c r="L4" s="7" t="s">
        <v>283</v>
      </c>
      <c r="M4" s="7" t="s">
        <v>278</v>
      </c>
      <c r="N4" s="7">
        <v>18750</v>
      </c>
      <c r="Q4" s="4" t="s">
        <v>281</v>
      </c>
      <c r="R4" s="4" t="s">
        <v>549</v>
      </c>
      <c r="S4" s="5">
        <v>7.6</v>
      </c>
      <c r="T4" s="5">
        <f>+SUMIF(L:L,Q4,N:N)*S4</f>
        <v>1094400</v>
      </c>
      <c r="U4" s="5">
        <f>+SUMIF(L:L,Q4,N:N)</f>
        <v>144000</v>
      </c>
    </row>
    <row r="5" spans="1:21" ht="15" thickBot="1" x14ac:dyDescent="0.35">
      <c r="A5" s="6">
        <v>1486966458330</v>
      </c>
      <c r="B5" s="5" t="s">
        <v>274</v>
      </c>
      <c r="C5" s="5" t="s">
        <v>274</v>
      </c>
      <c r="D5" s="7" t="s">
        <v>540</v>
      </c>
      <c r="E5" s="5" t="s">
        <v>540</v>
      </c>
      <c r="F5" s="5" t="s">
        <v>540</v>
      </c>
      <c r="G5" s="6" t="s">
        <v>275</v>
      </c>
      <c r="H5" s="8" t="s">
        <v>275</v>
      </c>
      <c r="I5" s="5" t="s">
        <v>269</v>
      </c>
      <c r="J5" s="7" t="s">
        <v>279</v>
      </c>
      <c r="K5" s="7" t="s">
        <v>277</v>
      </c>
      <c r="L5" s="7" t="s">
        <v>279</v>
      </c>
      <c r="M5" s="7" t="s">
        <v>278</v>
      </c>
      <c r="N5" s="7">
        <v>353000</v>
      </c>
      <c r="Q5" s="4" t="s">
        <v>276</v>
      </c>
      <c r="R5" s="4" t="s">
        <v>550</v>
      </c>
      <c r="S5" s="5">
        <v>9.35</v>
      </c>
      <c r="T5" s="5">
        <f>+SUMIF(L:L,Q5,N:N)*S5</f>
        <v>233750</v>
      </c>
      <c r="U5" s="5">
        <f t="shared" ref="U5:U10" si="0">+SUMIF(L:L,Q5,N:N)</f>
        <v>25000</v>
      </c>
    </row>
    <row r="6" spans="1:21" ht="15" thickBot="1" x14ac:dyDescent="0.35">
      <c r="A6" s="6">
        <v>1486966458408</v>
      </c>
      <c r="B6" s="5" t="s">
        <v>274</v>
      </c>
      <c r="C6" s="5" t="s">
        <v>274</v>
      </c>
      <c r="D6" s="7" t="s">
        <v>540</v>
      </c>
      <c r="E6" s="5" t="s">
        <v>540</v>
      </c>
      <c r="F6" s="5" t="s">
        <v>540</v>
      </c>
      <c r="G6" s="6" t="s">
        <v>275</v>
      </c>
      <c r="H6" s="8" t="s">
        <v>275</v>
      </c>
      <c r="I6" s="5" t="s">
        <v>269</v>
      </c>
      <c r="J6" s="7" t="s">
        <v>282</v>
      </c>
      <c r="K6" s="7" t="s">
        <v>277</v>
      </c>
      <c r="L6" s="7" t="s">
        <v>282</v>
      </c>
      <c r="M6" s="7" t="s">
        <v>278</v>
      </c>
      <c r="N6" s="7">
        <v>214000</v>
      </c>
      <c r="Q6" s="4" t="s">
        <v>283</v>
      </c>
      <c r="R6" s="4" t="s">
        <v>551</v>
      </c>
      <c r="S6" s="5">
        <v>2.77</v>
      </c>
      <c r="T6" s="5">
        <f>+SUMIF(L:L,Q6,N:N)*S6</f>
        <v>51937.5</v>
      </c>
      <c r="U6" s="5">
        <f t="shared" si="0"/>
        <v>18750</v>
      </c>
    </row>
    <row r="7" spans="1:21" ht="15" thickBot="1" x14ac:dyDescent="0.35">
      <c r="A7" s="6">
        <v>1486966458455</v>
      </c>
      <c r="B7" s="5" t="s">
        <v>274</v>
      </c>
      <c r="C7" s="5" t="s">
        <v>274</v>
      </c>
      <c r="D7" s="7" t="s">
        <v>540</v>
      </c>
      <c r="E7" s="5" t="s">
        <v>540</v>
      </c>
      <c r="F7" s="5" t="s">
        <v>540</v>
      </c>
      <c r="G7" s="6" t="s">
        <v>275</v>
      </c>
      <c r="H7" s="8" t="s">
        <v>275</v>
      </c>
      <c r="I7" s="5" t="s">
        <v>269</v>
      </c>
      <c r="J7" s="7" t="s">
        <v>280</v>
      </c>
      <c r="K7" s="7" t="s">
        <v>277</v>
      </c>
      <c r="L7" s="7" t="s">
        <v>280</v>
      </c>
      <c r="M7" s="7" t="s">
        <v>278</v>
      </c>
      <c r="N7" s="7">
        <v>301000</v>
      </c>
      <c r="Q7" s="4" t="s">
        <v>279</v>
      </c>
      <c r="R7" s="4" t="s">
        <v>552</v>
      </c>
      <c r="S7" s="5">
        <v>1.1499999999999999</v>
      </c>
      <c r="T7" s="5">
        <f>+SUMIF(L:L,Q7,N:N)*S7</f>
        <v>405949.99999999994</v>
      </c>
      <c r="U7" s="5">
        <f t="shared" si="0"/>
        <v>353000</v>
      </c>
    </row>
    <row r="8" spans="1:21" ht="15" thickBot="1" x14ac:dyDescent="0.35">
      <c r="A8" s="6">
        <v>1486966458627</v>
      </c>
      <c r="B8" s="5" t="s">
        <v>274</v>
      </c>
      <c r="C8" s="5" t="s">
        <v>274</v>
      </c>
      <c r="D8" s="7" t="s">
        <v>540</v>
      </c>
      <c r="E8" s="5" t="s">
        <v>540</v>
      </c>
      <c r="F8" s="5" t="s">
        <v>540</v>
      </c>
      <c r="G8" s="6" t="s">
        <v>275</v>
      </c>
      <c r="H8" s="8" t="s">
        <v>275</v>
      </c>
      <c r="I8" s="5" t="s">
        <v>269</v>
      </c>
      <c r="J8" s="7" t="s">
        <v>284</v>
      </c>
      <c r="K8" s="7" t="s">
        <v>277</v>
      </c>
      <c r="L8" s="7" t="s">
        <v>284</v>
      </c>
      <c r="M8" s="7" t="s">
        <v>278</v>
      </c>
      <c r="N8" s="7">
        <v>351000</v>
      </c>
      <c r="Q8" s="4" t="s">
        <v>282</v>
      </c>
      <c r="R8" s="4" t="s">
        <v>553</v>
      </c>
      <c r="S8" s="5">
        <v>4.9800000000000004</v>
      </c>
      <c r="T8" s="5">
        <f>+SUMIF(L:L,Q8,N:N)*S8</f>
        <v>1065720</v>
      </c>
      <c r="U8" s="5">
        <f t="shared" si="0"/>
        <v>214000</v>
      </c>
    </row>
    <row r="9" spans="1:21" ht="15" thickBot="1" x14ac:dyDescent="0.35">
      <c r="Q9" s="4" t="s">
        <v>280</v>
      </c>
      <c r="R9" s="4" t="s">
        <v>554</v>
      </c>
      <c r="S9" s="5">
        <v>4.33</v>
      </c>
      <c r="T9" s="5">
        <f t="shared" ref="T9:T10" si="1">+SUMIF(L:L,Q9,N:N)*S9</f>
        <v>1303330</v>
      </c>
      <c r="U9" s="5">
        <f t="shared" si="0"/>
        <v>301000</v>
      </c>
    </row>
    <row r="10" spans="1:21" ht="15" thickBot="1" x14ac:dyDescent="0.35">
      <c r="Q10" s="4" t="s">
        <v>284</v>
      </c>
      <c r="R10" s="4" t="s">
        <v>555</v>
      </c>
      <c r="S10" s="5">
        <v>3.42</v>
      </c>
      <c r="T10" s="5">
        <f t="shared" si="1"/>
        <v>1200420</v>
      </c>
      <c r="U10" s="5">
        <f t="shared" si="0"/>
        <v>351000</v>
      </c>
    </row>
    <row r="11" spans="1:21" x14ac:dyDescent="0.3">
      <c r="R11"/>
    </row>
    <row r="12" spans="1:21" x14ac:dyDescent="0.3">
      <c r="R12"/>
    </row>
    <row r="13" spans="1:21" x14ac:dyDescent="0.3">
      <c r="R13"/>
    </row>
    <row r="14" spans="1:21" x14ac:dyDescent="0.3">
      <c r="R14"/>
    </row>
    <row r="15" spans="1:21" x14ac:dyDescent="0.3">
      <c r="R15"/>
    </row>
    <row r="16" spans="1:21" x14ac:dyDescent="0.3">
      <c r="R16"/>
    </row>
    <row r="17" spans="18:18" x14ac:dyDescent="0.3">
      <c r="R17"/>
    </row>
    <row r="18" spans="18:18" x14ac:dyDescent="0.3">
      <c r="R18"/>
    </row>
    <row r="19" spans="18:18" x14ac:dyDescent="0.3">
      <c r="R19"/>
    </row>
    <row r="20" spans="18:18" x14ac:dyDescent="0.3">
      <c r="R20"/>
    </row>
    <row r="21" spans="18:18" x14ac:dyDescent="0.3">
      <c r="R21"/>
    </row>
    <row r="22" spans="18:18" x14ac:dyDescent="0.3">
      <c r="R22"/>
    </row>
    <row r="23" spans="18:18" x14ac:dyDescent="0.3">
      <c r="R23"/>
    </row>
    <row r="24" spans="18:18" x14ac:dyDescent="0.3">
      <c r="R24"/>
    </row>
    <row r="25" spans="18:18" x14ac:dyDescent="0.3">
      <c r="R25"/>
    </row>
    <row r="26" spans="18:18" x14ac:dyDescent="0.3">
      <c r="R26"/>
    </row>
    <row r="27" spans="18:18" x14ac:dyDescent="0.3">
      <c r="R27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L255"/>
  <sheetViews>
    <sheetView topLeftCell="AG1" workbookViewId="0">
      <selection activeCell="AL3" sqref="AL3"/>
    </sheetView>
  </sheetViews>
  <sheetFormatPr defaultColWidth="9.109375" defaultRowHeight="14.4" x14ac:dyDescent="0.3"/>
  <cols>
    <col min="1" max="1" width="12.33203125" style="1" bestFit="1" customWidth="1"/>
    <col min="2" max="2" width="20.6640625" style="1" customWidth="1"/>
    <col min="3" max="3" width="22.33203125" style="1" customWidth="1"/>
    <col min="4" max="4" width="21.88671875" style="1" customWidth="1"/>
    <col min="5" max="8" width="19.88671875" style="1" customWidth="1"/>
    <col min="9" max="9" width="9.109375" style="1"/>
    <col min="10" max="10" width="12.33203125" style="1" bestFit="1" customWidth="1"/>
    <col min="11" max="11" width="16.6640625" style="1" customWidth="1"/>
    <col min="12" max="12" width="18.33203125" style="1" customWidth="1"/>
    <col min="13" max="13" width="19" style="1" customWidth="1"/>
    <col min="14" max="14" width="18.88671875" style="1" customWidth="1"/>
    <col min="15" max="15" width="21.6640625" style="1" customWidth="1"/>
    <col min="16" max="16" width="21.44140625" style="1" customWidth="1"/>
    <col min="17" max="17" width="21.88671875" style="1" customWidth="1"/>
    <col min="18" max="19" width="9.109375" style="1"/>
    <col min="20" max="20" width="14.109375" style="1" customWidth="1"/>
    <col min="21" max="27" width="22" style="1" customWidth="1"/>
    <col min="28" max="28" width="9.109375" style="1"/>
    <col min="29" max="29" width="14.109375" style="1" customWidth="1"/>
    <col min="30" max="38" width="22" style="1" customWidth="1"/>
    <col min="39" max="16384" width="9.109375" style="1"/>
  </cols>
  <sheetData>
    <row r="1" spans="1:38" ht="15" thickBot="1" x14ac:dyDescent="0.35">
      <c r="A1" s="4" t="s">
        <v>257</v>
      </c>
      <c r="J1" s="4" t="s">
        <v>258</v>
      </c>
      <c r="K1" s="9"/>
      <c r="L1" s="10"/>
      <c r="M1" s="9"/>
      <c r="N1" s="10"/>
      <c r="O1" s="14"/>
      <c r="P1" s="14"/>
      <c r="Q1" s="14"/>
      <c r="T1" s="4" t="s">
        <v>259</v>
      </c>
      <c r="U1" s="9"/>
      <c r="V1" s="9"/>
      <c r="W1" s="9"/>
      <c r="X1" s="9"/>
      <c r="Y1" s="9"/>
      <c r="Z1" s="9"/>
      <c r="AA1" s="9"/>
      <c r="AC1" s="4" t="s">
        <v>537</v>
      </c>
      <c r="AD1" s="9"/>
      <c r="AE1" s="9"/>
      <c r="AF1" s="9"/>
      <c r="AG1" s="9"/>
      <c r="AH1" s="9"/>
      <c r="AI1" s="9"/>
      <c r="AJ1" s="9"/>
      <c r="AK1" s="9"/>
      <c r="AL1" s="9"/>
    </row>
    <row r="2" spans="1:38" ht="15" thickBot="1" x14ac:dyDescent="0.35">
      <c r="A2" s="4" t="s">
        <v>1</v>
      </c>
      <c r="B2" s="4" t="s">
        <v>542</v>
      </c>
      <c r="C2" s="4" t="s">
        <v>543</v>
      </c>
      <c r="D2" s="4" t="s">
        <v>544</v>
      </c>
      <c r="E2" s="4" t="s">
        <v>545</v>
      </c>
      <c r="F2" s="4" t="s">
        <v>546</v>
      </c>
      <c r="G2" s="4" t="s">
        <v>547</v>
      </c>
      <c r="H2" s="4" t="s">
        <v>548</v>
      </c>
      <c r="J2" s="4" t="s">
        <v>1</v>
      </c>
      <c r="K2" s="4" t="s">
        <v>542</v>
      </c>
      <c r="L2" s="4" t="s">
        <v>543</v>
      </c>
      <c r="M2" s="4" t="s">
        <v>544</v>
      </c>
      <c r="N2" s="4" t="s">
        <v>545</v>
      </c>
      <c r="O2" s="4" t="s">
        <v>546</v>
      </c>
      <c r="P2" s="4" t="s">
        <v>547</v>
      </c>
      <c r="Q2" s="4" t="s">
        <v>548</v>
      </c>
      <c r="T2" s="4"/>
      <c r="U2" s="4" t="s">
        <v>542</v>
      </c>
      <c r="V2" s="4" t="s">
        <v>543</v>
      </c>
      <c r="W2" s="4" t="s">
        <v>544</v>
      </c>
      <c r="X2" s="4" t="s">
        <v>545</v>
      </c>
      <c r="Y2" s="4" t="s">
        <v>546</v>
      </c>
      <c r="Z2" s="4" t="s">
        <v>547</v>
      </c>
      <c r="AA2" s="4" t="s">
        <v>548</v>
      </c>
      <c r="AC2" s="4"/>
      <c r="AD2" s="4" t="s">
        <v>542</v>
      </c>
      <c r="AE2" s="4" t="s">
        <v>543</v>
      </c>
      <c r="AF2" s="4" t="s">
        <v>544</v>
      </c>
      <c r="AG2" s="4" t="s">
        <v>545</v>
      </c>
      <c r="AH2" s="4" t="s">
        <v>546</v>
      </c>
      <c r="AI2" s="4" t="s">
        <v>547</v>
      </c>
      <c r="AJ2" s="4" t="s">
        <v>548</v>
      </c>
      <c r="AK2" s="4" t="s">
        <v>539</v>
      </c>
      <c r="AL2" s="4" t="s">
        <v>541</v>
      </c>
    </row>
    <row r="3" spans="1:38" ht="15" thickBot="1" x14ac:dyDescent="0.35">
      <c r="A3" s="5" t="s">
        <v>277</v>
      </c>
      <c r="B3" s="6">
        <v>7.6</v>
      </c>
      <c r="C3" s="5">
        <v>9.35</v>
      </c>
      <c r="D3" s="6">
        <v>2.77</v>
      </c>
      <c r="E3" s="5">
        <v>1.1499999999999999</v>
      </c>
      <c r="F3" s="5">
        <v>4.9800000000000004</v>
      </c>
      <c r="G3" s="5">
        <v>4.33</v>
      </c>
      <c r="H3" s="5">
        <v>3.42</v>
      </c>
      <c r="J3" s="5" t="s">
        <v>277</v>
      </c>
      <c r="K3" s="11">
        <f>+ROUND(LN(B3/B4),6)</f>
        <v>-2.6280000000000001E-3</v>
      </c>
      <c r="L3" s="11">
        <f>+ROUND(LN(C3/C4),6)</f>
        <v>4.287E-3</v>
      </c>
      <c r="M3" s="11">
        <f>+ROUND(LN(D3/D4),6)</f>
        <v>2.5596000000000001E-2</v>
      </c>
      <c r="N3" s="11">
        <f>+ROUND(LN(E3/E4),6)</f>
        <v>-8.6580000000000008E-3</v>
      </c>
      <c r="O3" s="11">
        <f>+ROUND(LN(F3/F4),6)</f>
        <v>-6.0060000000000001E-3</v>
      </c>
      <c r="P3" s="11">
        <f>+ROUND(LN(G3/G4),6)</f>
        <v>-4.6080000000000001E-3</v>
      </c>
      <c r="Q3" s="11">
        <f>+ROUND(LN(H3/H4),6)</f>
        <v>-2.9199999999999999E-3</v>
      </c>
      <c r="T3" s="5" t="s">
        <v>2</v>
      </c>
      <c r="U3" s="15">
        <f>+ROUND(B$3*EXP(K3),6)</f>
        <v>7.5800530000000004</v>
      </c>
      <c r="V3" s="15">
        <f>+ROUND(C$3*EXP(L3),6)</f>
        <v>9.3901690000000002</v>
      </c>
      <c r="W3" s="15">
        <f>+ROUND(D$3*EXP(M3),6)</f>
        <v>2.8418160000000001</v>
      </c>
      <c r="X3" s="15">
        <f>+ROUND(E$3*EXP(N3),6)</f>
        <v>1.1400859999999999</v>
      </c>
      <c r="Y3" s="15">
        <f>+ROUND(F$3*EXP(O3),6)</f>
        <v>4.9501799999999996</v>
      </c>
      <c r="Z3" s="15">
        <f>+ROUND(G$3*EXP(P3),6)</f>
        <v>4.3100930000000002</v>
      </c>
      <c r="AA3" s="15">
        <f>+ROUND(H$3*EXP(Q3),6)</f>
        <v>3.4100280000000001</v>
      </c>
      <c r="AB3" s="1">
        <v>1</v>
      </c>
      <c r="AC3" s="5" t="s">
        <v>2</v>
      </c>
      <c r="AD3" s="16">
        <f>+ROUND(Pozisyon!$U$4*('Data - Simülasyon- P&amp;L'!U3-'Data - Simülasyon- P&amp;L'!B$3),6)</f>
        <v>-2872.3679999999999</v>
      </c>
      <c r="AE3" s="16">
        <f>+ROUND(Pozisyon!$U$5*('Data - Simülasyon- P&amp;L'!V3-'Data - Simülasyon- P&amp;L'!C$3),6)</f>
        <v>1004.225</v>
      </c>
      <c r="AF3" s="16">
        <f>+ROUND(Pozisyon!$U$6*('Data - Simülasyon- P&amp;L'!W3-'Data - Simülasyon- P&amp;L'!D$3),6)</f>
        <v>1346.55</v>
      </c>
      <c r="AG3" s="16">
        <f>+ROUND(Pozisyon!$U$7*('Data - Simülasyon- P&amp;L'!X3-'Data - Simülasyon- P&amp;L'!E$3),6)</f>
        <v>-3499.6419999999998</v>
      </c>
      <c r="AH3" s="16">
        <f>+ROUND(Pozisyon!$U$8*('Data - Simülasyon- P&amp;L'!Y3-'Data - Simülasyon- P&amp;L'!F$3),6)</f>
        <v>-6381.48</v>
      </c>
      <c r="AI3" s="16">
        <f>+ROUND(Pozisyon!$U$9*('Data - Simülasyon- P&amp;L'!Z3-'Data - Simülasyon- P&amp;L'!G$3),6)</f>
        <v>-5992.0069999999996</v>
      </c>
      <c r="AJ3" s="16">
        <f>+ROUND(Pozisyon!$U$10*('Data - Simülasyon- P&amp;L'!AA3-'Data - Simülasyon- P&amp;L'!H$3),6)</f>
        <v>-3500.172</v>
      </c>
      <c r="AK3" s="16">
        <f>+SUM(AD3:AJ3)</f>
        <v>-19894.894</v>
      </c>
      <c r="AL3" s="16">
        <f>+SMALL($AK$3:$AK$254,AB3)</f>
        <v>-594708.35850000009</v>
      </c>
    </row>
    <row r="4" spans="1:38" ht="15" thickBot="1" x14ac:dyDescent="0.35">
      <c r="A4" s="5" t="s">
        <v>285</v>
      </c>
      <c r="B4" s="6">
        <v>7.62</v>
      </c>
      <c r="C4" s="5">
        <v>9.31</v>
      </c>
      <c r="D4" s="6">
        <v>2.7</v>
      </c>
      <c r="E4" s="5">
        <v>1.1599999999999999</v>
      </c>
      <c r="F4" s="5">
        <v>5.01</v>
      </c>
      <c r="G4" s="5">
        <v>4.3499999999999996</v>
      </c>
      <c r="H4" s="5">
        <v>3.43</v>
      </c>
      <c r="J4" s="5" t="s">
        <v>285</v>
      </c>
      <c r="K4" s="11">
        <f>+ROUND(LN(B4/B5),6)</f>
        <v>0</v>
      </c>
      <c r="L4" s="11">
        <f>+ROUND(LN(C4/C5),6)</f>
        <v>-6.424E-3</v>
      </c>
      <c r="M4" s="11">
        <f>+ROUND(LN(D4/D5),6)</f>
        <v>2.2473E-2</v>
      </c>
      <c r="N4" s="11">
        <f>+ROUND(LN(E4/E5),6)</f>
        <v>0</v>
      </c>
      <c r="O4" s="11">
        <f>+ROUND(LN(F4/F5),6)</f>
        <v>-1.9940000000000001E-3</v>
      </c>
      <c r="P4" s="11">
        <f>+ROUND(LN(G4/G5),6)</f>
        <v>-2.2959999999999999E-3</v>
      </c>
      <c r="Q4" s="11">
        <f>+ROUND(LN(H4/H5),6)</f>
        <v>0</v>
      </c>
      <c r="R4" s="3"/>
      <c r="T4" s="5" t="s">
        <v>3</v>
      </c>
      <c r="U4" s="15">
        <f>+ROUND(B$3*EXP(K4),6)</f>
        <v>7.6</v>
      </c>
      <c r="V4" s="15">
        <f>+ROUND(C$3*EXP(L4),6)</f>
        <v>9.2901279999999993</v>
      </c>
      <c r="W4" s="15">
        <f>+ROUND(D$3*EXP(M4),6)</f>
        <v>2.8329550000000001</v>
      </c>
      <c r="X4" s="15">
        <f>+ROUND(E$3*EXP(N4),6)</f>
        <v>1.1499999999999999</v>
      </c>
      <c r="Y4" s="15">
        <f>+ROUND(F$3*EXP(O4),6)</f>
        <v>4.9700800000000003</v>
      </c>
      <c r="Z4" s="15">
        <f>+ROUND(G$3*EXP(P4),6)</f>
        <v>4.3200700000000003</v>
      </c>
      <c r="AA4" s="15">
        <f>+ROUND(H$3*EXP(Q4),6)</f>
        <v>3.42</v>
      </c>
      <c r="AB4" s="1">
        <v>2</v>
      </c>
      <c r="AC4" s="5" t="s">
        <v>3</v>
      </c>
      <c r="AD4" s="16">
        <f>+ROUND(Pozisyon!$U$4*('Data - Simülasyon- P&amp;L'!U4-'Data - Simülasyon- P&amp;L'!B$3),6)</f>
        <v>0</v>
      </c>
      <c r="AE4" s="16">
        <f>+ROUND(Pozisyon!$U$5*('Data - Simülasyon- P&amp;L'!V4-'Data - Simülasyon- P&amp;L'!C$3),6)</f>
        <v>-1496.8</v>
      </c>
      <c r="AF4" s="16">
        <f>+ROUND(Pozisyon!$U$6*('Data - Simülasyon- P&amp;L'!W4-'Data - Simülasyon- P&amp;L'!D$3),6)</f>
        <v>1180.40625</v>
      </c>
      <c r="AG4" s="16">
        <f>+ROUND(Pozisyon!$U$7*('Data - Simülasyon- P&amp;L'!X4-'Data - Simülasyon- P&amp;L'!E$3),6)</f>
        <v>0</v>
      </c>
      <c r="AH4" s="16">
        <f>+ROUND(Pozisyon!$U$8*('Data - Simülasyon- P&amp;L'!Y4-'Data - Simülasyon- P&amp;L'!F$3),6)</f>
        <v>-2122.88</v>
      </c>
      <c r="AI4" s="16">
        <f>+ROUND(Pozisyon!$U$9*('Data - Simülasyon- P&amp;L'!Z4-'Data - Simülasyon- P&amp;L'!G$3),6)</f>
        <v>-2988.93</v>
      </c>
      <c r="AJ4" s="16">
        <f>+ROUND(Pozisyon!$U$10*('Data - Simülasyon- P&amp;L'!AA4-'Data - Simülasyon- P&amp;L'!H$3),6)</f>
        <v>0</v>
      </c>
      <c r="AK4" s="16">
        <f>+SUM(AD4:AJ4)</f>
        <v>-5428.2037500000006</v>
      </c>
      <c r="AL4" s="16">
        <f>+SMALL($AK$3:$AK$254,AB4)</f>
        <v>-280747.73550000001</v>
      </c>
    </row>
    <row r="5" spans="1:38" ht="15" thickBot="1" x14ac:dyDescent="0.35">
      <c r="A5" s="5" t="s">
        <v>286</v>
      </c>
      <c r="B5" s="6">
        <v>7.62</v>
      </c>
      <c r="C5" s="5">
        <v>9.3699999999999992</v>
      </c>
      <c r="D5" s="6">
        <v>2.64</v>
      </c>
      <c r="E5" s="5">
        <v>1.1599999999999999</v>
      </c>
      <c r="F5" s="5">
        <v>5.0199999999999996</v>
      </c>
      <c r="G5" s="5">
        <v>4.3600000000000003</v>
      </c>
      <c r="H5" s="5">
        <v>3.43</v>
      </c>
      <c r="J5" s="5" t="s">
        <v>286</v>
      </c>
      <c r="K5" s="11">
        <f>+ROUND(LN(B5/B6),6)</f>
        <v>2.6280000000000001E-3</v>
      </c>
      <c r="L5" s="11">
        <f>+ROUND(LN(C5/C6),6)</f>
        <v>6.424E-3</v>
      </c>
      <c r="M5" s="11">
        <f>+ROUND(LN(D5/D6),6)</f>
        <v>1.5266999999999999E-2</v>
      </c>
      <c r="N5" s="11">
        <f>+ROUND(LN(E5/E6),6)</f>
        <v>1.7392000000000001E-2</v>
      </c>
      <c r="O5" s="11">
        <f>+ROUND(LN(F5/F6),6)</f>
        <v>1.001E-2</v>
      </c>
      <c r="P5" s="11">
        <f>+ROUND(LN(G5/G6),6)</f>
        <v>4.5979999999999997E-3</v>
      </c>
      <c r="Q5" s="11">
        <f>+ROUND(LN(H5/H6),6)</f>
        <v>1.1730000000000001E-2</v>
      </c>
      <c r="R5" s="3"/>
      <c r="T5" s="5" t="s">
        <v>4</v>
      </c>
      <c r="U5" s="15">
        <f>+ROUND(B$3*EXP(K5),6)</f>
        <v>7.619999</v>
      </c>
      <c r="V5" s="15">
        <f>+ROUND(C$3*EXP(L5),6)</f>
        <v>9.4102580000000007</v>
      </c>
      <c r="W5" s="15">
        <f>+ROUND(D$3*EXP(M5),6)</f>
        <v>2.8126139999999999</v>
      </c>
      <c r="X5" s="15">
        <f>+ROUND(E$3*EXP(N5),6)</f>
        <v>1.1701760000000001</v>
      </c>
      <c r="Y5" s="15">
        <f>+ROUND(F$3*EXP(O5),6)</f>
        <v>5.0301</v>
      </c>
      <c r="Z5" s="15">
        <f>+ROUND(G$3*EXP(P5),6)</f>
        <v>4.3499549999999996</v>
      </c>
      <c r="AA5" s="15">
        <f>+ROUND(H$3*EXP(Q5),6)</f>
        <v>3.460353</v>
      </c>
      <c r="AB5" s="1">
        <v>3</v>
      </c>
      <c r="AC5" s="5" t="s">
        <v>4</v>
      </c>
      <c r="AD5" s="16">
        <f>+ROUND(Pozisyon!$U$4*('Data - Simülasyon- P&amp;L'!U5-'Data - Simülasyon- P&amp;L'!B$3),6)</f>
        <v>2879.8560000000002</v>
      </c>
      <c r="AE5" s="16">
        <f>+ROUND(Pozisyon!$U$5*('Data - Simülasyon- P&amp;L'!V5-'Data - Simülasyon- P&amp;L'!C$3),6)</f>
        <v>1506.45</v>
      </c>
      <c r="AF5" s="16">
        <f>+ROUND(Pozisyon!$U$6*('Data - Simülasyon- P&amp;L'!W5-'Data - Simülasyon- P&amp;L'!D$3),6)</f>
        <v>799.01250000000005</v>
      </c>
      <c r="AG5" s="16">
        <f>+ROUND(Pozisyon!$U$7*('Data - Simülasyon- P&amp;L'!X5-'Data - Simülasyon- P&amp;L'!E$3),6)</f>
        <v>7122.1279999999997</v>
      </c>
      <c r="AH5" s="16">
        <f>+ROUND(Pozisyon!$U$8*('Data - Simülasyon- P&amp;L'!Y5-'Data - Simülasyon- P&amp;L'!F$3),6)</f>
        <v>10721.4</v>
      </c>
      <c r="AI5" s="16">
        <f>+ROUND(Pozisyon!$U$9*('Data - Simülasyon- P&amp;L'!Z5-'Data - Simülasyon- P&amp;L'!G$3),6)</f>
        <v>6006.4549999999999</v>
      </c>
      <c r="AJ5" s="16">
        <f>+ROUND(Pozisyon!$U$10*('Data - Simülasyon- P&amp;L'!AA5-'Data - Simülasyon- P&amp;L'!H$3),6)</f>
        <v>14163.903</v>
      </c>
      <c r="AK5" s="16">
        <f>+SUM(AD5:AJ5)</f>
        <v>43199.2045</v>
      </c>
      <c r="AL5" s="16">
        <f>+SMALL($AK$3:$AK$254,AB5)</f>
        <v>-253464.21250000002</v>
      </c>
    </row>
    <row r="6" spans="1:38" ht="15" thickBot="1" x14ac:dyDescent="0.35">
      <c r="A6" s="5" t="s">
        <v>287</v>
      </c>
      <c r="B6" s="6">
        <v>7.6</v>
      </c>
      <c r="C6" s="5">
        <v>9.31</v>
      </c>
      <c r="D6" s="6">
        <v>2.6</v>
      </c>
      <c r="E6" s="5">
        <v>1.1399999999999999</v>
      </c>
      <c r="F6" s="5">
        <v>4.97</v>
      </c>
      <c r="G6" s="5">
        <v>4.34</v>
      </c>
      <c r="H6" s="5">
        <v>3.39</v>
      </c>
      <c r="J6" s="5" t="s">
        <v>287</v>
      </c>
      <c r="K6" s="11">
        <f>+ROUND(LN(B6/B7),6)</f>
        <v>6.6010000000000001E-3</v>
      </c>
      <c r="L6" s="11">
        <f>+ROUND(LN(C6/C7),6)</f>
        <v>8.6300000000000005E-3</v>
      </c>
      <c r="M6" s="11">
        <f>+ROUND(LN(D6/D7),6)</f>
        <v>-1.5266999999999999E-2</v>
      </c>
      <c r="N6" s="11">
        <f>+ROUND(LN(E6/E7),6)</f>
        <v>8.8109999999999994E-3</v>
      </c>
      <c r="O6" s="11">
        <f>+ROUND(LN(F6/F7),6)</f>
        <v>1.0111E-2</v>
      </c>
      <c r="P6" s="11">
        <f>+ROUND(LN(G6/G7),6)</f>
        <v>1.1587999999999999E-2</v>
      </c>
      <c r="Q6" s="11">
        <f>+ROUND(LN(H6/H7),6)</f>
        <v>1.4859000000000001E-2</v>
      </c>
      <c r="R6" s="3"/>
      <c r="T6" s="5" t="s">
        <v>5</v>
      </c>
      <c r="U6" s="15">
        <f>+ROUND(B$3*EXP(K6),6)</f>
        <v>7.650334</v>
      </c>
      <c r="V6" s="15">
        <f>+ROUND(C$3*EXP(L6),6)</f>
        <v>9.4310399999999994</v>
      </c>
      <c r="W6" s="15">
        <f>+ROUND(D$3*EXP(M6),6)</f>
        <v>2.7280319999999998</v>
      </c>
      <c r="X6" s="15">
        <f>+ROUND(E$3*EXP(N6),6)</f>
        <v>1.160177</v>
      </c>
      <c r="Y6" s="15">
        <f>+ROUND(F$3*EXP(O6),6)</f>
        <v>5.030608</v>
      </c>
      <c r="Z6" s="15">
        <f>+ROUND(G$3*EXP(P6),6)</f>
        <v>4.3804679999999996</v>
      </c>
      <c r="AA6" s="15">
        <f>+ROUND(H$3*EXP(Q6),6)</f>
        <v>3.4711970000000001</v>
      </c>
      <c r="AB6" s="1">
        <v>4</v>
      </c>
      <c r="AC6" s="5" t="s">
        <v>5</v>
      </c>
      <c r="AD6" s="16">
        <f>+ROUND(Pozisyon!$U$4*('Data - Simülasyon- P&amp;L'!U6-'Data - Simülasyon- P&amp;L'!B$3),6)</f>
        <v>7248.0959999999995</v>
      </c>
      <c r="AE6" s="16">
        <f>+ROUND(Pozisyon!$U$5*('Data - Simülasyon- P&amp;L'!V6-'Data - Simülasyon- P&amp;L'!C$3),6)</f>
        <v>2026</v>
      </c>
      <c r="AF6" s="16">
        <f>+ROUND(Pozisyon!$U$6*('Data - Simülasyon- P&amp;L'!W6-'Data - Simülasyon- P&amp;L'!D$3),6)</f>
        <v>-786.9</v>
      </c>
      <c r="AG6" s="16">
        <f>+ROUND(Pozisyon!$U$7*('Data - Simülasyon- P&amp;L'!X6-'Data - Simülasyon- P&amp;L'!E$3),6)</f>
        <v>3592.4810000000002</v>
      </c>
      <c r="AH6" s="16">
        <f>+ROUND(Pozisyon!$U$8*('Data - Simülasyon- P&amp;L'!Y6-'Data - Simülasyon- P&amp;L'!F$3),6)</f>
        <v>10830.111999999999</v>
      </c>
      <c r="AI6" s="16">
        <f>+ROUND(Pozisyon!$U$9*('Data - Simülasyon- P&amp;L'!Z6-'Data - Simülasyon- P&amp;L'!G$3),6)</f>
        <v>15190.868</v>
      </c>
      <c r="AJ6" s="16">
        <f>+ROUND(Pozisyon!$U$10*('Data - Simülasyon- P&amp;L'!AA6-'Data - Simülasyon- P&amp;L'!H$3),6)</f>
        <v>17970.147000000001</v>
      </c>
      <c r="AK6" s="16">
        <f>+SUM(AD6:AJ6)</f>
        <v>56070.804000000004</v>
      </c>
      <c r="AL6" s="16">
        <f>+SMALL($AK$3:$AK$254,AB6)</f>
        <v>-249419.26125000001</v>
      </c>
    </row>
    <row r="7" spans="1:38" ht="15" thickBot="1" x14ac:dyDescent="0.35">
      <c r="A7" s="5" t="s">
        <v>288</v>
      </c>
      <c r="B7" s="6">
        <v>7.55</v>
      </c>
      <c r="C7" s="5">
        <v>9.23</v>
      </c>
      <c r="D7" s="6">
        <v>2.64</v>
      </c>
      <c r="E7" s="5">
        <v>1.1299999999999999</v>
      </c>
      <c r="F7" s="5">
        <v>4.92</v>
      </c>
      <c r="G7" s="5">
        <v>4.29</v>
      </c>
      <c r="H7" s="5">
        <v>3.34</v>
      </c>
      <c r="J7" s="5" t="s">
        <v>288</v>
      </c>
      <c r="K7" s="11">
        <f>+ROUND(LN(B7/B8),6)</f>
        <v>-1.0540000000000001E-2</v>
      </c>
      <c r="L7" s="11">
        <f>+ROUND(LN(C7/C8),6)</f>
        <v>-1.0776000000000001E-2</v>
      </c>
      <c r="M7" s="11">
        <f>+ROUND(LN(D7/D8),6)</f>
        <v>1.9120999999999999E-2</v>
      </c>
      <c r="N7" s="11">
        <f>+ROUND(LN(E7/E8),6)</f>
        <v>0</v>
      </c>
      <c r="O7" s="11">
        <f>+ROUND(LN(F7/F8),6)</f>
        <v>-1.2121E-2</v>
      </c>
      <c r="P7" s="11">
        <f>+ROUND(LN(G7/G8),6)</f>
        <v>-1.1587999999999999E-2</v>
      </c>
      <c r="Q7" s="11">
        <f>+ROUND(LN(H7/H8),6)</f>
        <v>-1.4859000000000001E-2</v>
      </c>
      <c r="R7" s="3"/>
      <c r="T7" s="5" t="s">
        <v>6</v>
      </c>
      <c r="U7" s="15">
        <f>+ROUND(B$3*EXP(K7),6)</f>
        <v>7.5203170000000004</v>
      </c>
      <c r="V7" s="15">
        <f>+ROUND(C$3*EXP(L7),6)</f>
        <v>9.2497849999999993</v>
      </c>
      <c r="W7" s="15">
        <f>+ROUND(D$3*EXP(M7),6)</f>
        <v>2.8234750000000002</v>
      </c>
      <c r="X7" s="15">
        <f>+ROUND(E$3*EXP(N7),6)</f>
        <v>1.1499999999999999</v>
      </c>
      <c r="Y7" s="15">
        <f>+ROUND(F$3*EXP(O7),6)</f>
        <v>4.9200020000000002</v>
      </c>
      <c r="Z7" s="15">
        <f>+ROUND(G$3*EXP(P7),6)</f>
        <v>4.2801140000000002</v>
      </c>
      <c r="AA7" s="15">
        <f>+ROUND(H$3*EXP(Q7),6)</f>
        <v>3.3695580000000001</v>
      </c>
      <c r="AB7" s="1">
        <v>5</v>
      </c>
      <c r="AC7" s="5" t="s">
        <v>6</v>
      </c>
      <c r="AD7" s="16">
        <f>+ROUND(Pozisyon!$U$4*('Data - Simülasyon- P&amp;L'!U7-'Data - Simülasyon- P&amp;L'!B$3),6)</f>
        <v>-11474.352000000001</v>
      </c>
      <c r="AE7" s="16">
        <f>+ROUND(Pozisyon!$U$5*('Data - Simülasyon- P&amp;L'!V7-'Data - Simülasyon- P&amp;L'!C$3),6)</f>
        <v>-2505.375</v>
      </c>
      <c r="AF7" s="16">
        <f>+ROUND(Pozisyon!$U$6*('Data - Simülasyon- P&amp;L'!W7-'Data - Simülasyon- P&amp;L'!D$3),6)</f>
        <v>1002.65625</v>
      </c>
      <c r="AG7" s="16">
        <f>+ROUND(Pozisyon!$U$7*('Data - Simülasyon- P&amp;L'!X7-'Data - Simülasyon- P&amp;L'!E$3),6)</f>
        <v>0</v>
      </c>
      <c r="AH7" s="16">
        <f>+ROUND(Pozisyon!$U$8*('Data - Simülasyon- P&amp;L'!Y7-'Data - Simülasyon- P&amp;L'!F$3),6)</f>
        <v>-12839.572</v>
      </c>
      <c r="AI7" s="16">
        <f>+ROUND(Pozisyon!$U$9*('Data - Simülasyon- P&amp;L'!Z7-'Data - Simülasyon- P&amp;L'!G$3),6)</f>
        <v>-15015.686</v>
      </c>
      <c r="AJ7" s="16">
        <f>+ROUND(Pozisyon!$U$10*('Data - Simülasyon- P&amp;L'!AA7-'Data - Simülasyon- P&amp;L'!H$3),6)</f>
        <v>-17705.142</v>
      </c>
      <c r="AK7" s="16">
        <f>+SUM(AD7:AJ7)</f>
        <v>-58537.47075</v>
      </c>
      <c r="AL7" s="16">
        <f>+SMALL($AK$3:$AK$254,AB7)</f>
        <v>-213492.20375000002</v>
      </c>
    </row>
    <row r="8" spans="1:38" ht="15" thickBot="1" x14ac:dyDescent="0.35">
      <c r="A8" s="5" t="s">
        <v>289</v>
      </c>
      <c r="B8" s="6">
        <v>7.63</v>
      </c>
      <c r="C8" s="5">
        <v>9.33</v>
      </c>
      <c r="D8" s="6">
        <v>2.59</v>
      </c>
      <c r="E8" s="5">
        <v>1.1299999999999999</v>
      </c>
      <c r="F8" s="5">
        <v>4.9800000000000004</v>
      </c>
      <c r="G8" s="5">
        <v>4.34</v>
      </c>
      <c r="H8" s="5">
        <v>3.39</v>
      </c>
      <c r="J8" s="5" t="s">
        <v>289</v>
      </c>
      <c r="K8" s="11">
        <f>+ROUND(LN(B8/B9),6)</f>
        <v>0</v>
      </c>
      <c r="L8" s="11">
        <f>+ROUND(LN(C8/C9),6)</f>
        <v>1.072E-3</v>
      </c>
      <c r="M8" s="11">
        <f>+ROUND(LN(D8/D9),6)</f>
        <v>-1.5325999999999999E-2</v>
      </c>
      <c r="N8" s="11">
        <f>+ROUND(LN(E8/E9),6)</f>
        <v>0</v>
      </c>
      <c r="O8" s="11">
        <f>+ROUND(LN(F8/F9),6)</f>
        <v>4.0239999999999998E-3</v>
      </c>
      <c r="P8" s="11">
        <f>+ROUND(LN(G8/G9),6)</f>
        <v>0</v>
      </c>
      <c r="Q8" s="11">
        <f>+ROUND(LN(H8/H9),6)</f>
        <v>0</v>
      </c>
      <c r="R8" s="3"/>
      <c r="T8" s="5" t="s">
        <v>7</v>
      </c>
      <c r="U8" s="15">
        <f>+ROUND(B$3*EXP(K8),6)</f>
        <v>7.6</v>
      </c>
      <c r="V8" s="15">
        <f>+ROUND(C$3*EXP(L8),6)</f>
        <v>9.3600290000000008</v>
      </c>
      <c r="W8" s="15">
        <f>+ROUND(D$3*EXP(M8),6)</f>
        <v>2.7278709999999999</v>
      </c>
      <c r="X8" s="15">
        <f>+ROUND(E$3*EXP(N8),6)</f>
        <v>1.1499999999999999</v>
      </c>
      <c r="Y8" s="15">
        <f>+ROUND(F$3*EXP(O8),6)</f>
        <v>5.0000799999999996</v>
      </c>
      <c r="Z8" s="15">
        <f>+ROUND(G$3*EXP(P8),6)</f>
        <v>4.33</v>
      </c>
      <c r="AA8" s="15">
        <f>+ROUND(H$3*EXP(Q8),6)</f>
        <v>3.42</v>
      </c>
      <c r="AB8" s="1">
        <v>6</v>
      </c>
      <c r="AC8" s="5" t="s">
        <v>7</v>
      </c>
      <c r="AD8" s="16">
        <f>+ROUND(Pozisyon!$U$4*('Data - Simülasyon- P&amp;L'!U8-'Data - Simülasyon- P&amp;L'!B$3),6)</f>
        <v>0</v>
      </c>
      <c r="AE8" s="16">
        <f>+ROUND(Pozisyon!$U$5*('Data - Simülasyon- P&amp;L'!V8-'Data - Simülasyon- P&amp;L'!C$3),6)</f>
        <v>250.72499999999999</v>
      </c>
      <c r="AF8" s="16">
        <f>+ROUND(Pozisyon!$U$6*('Data - Simülasyon- P&amp;L'!W8-'Data - Simülasyon- P&amp;L'!D$3),6)</f>
        <v>-789.91875000000005</v>
      </c>
      <c r="AG8" s="16">
        <f>+ROUND(Pozisyon!$U$7*('Data - Simülasyon- P&amp;L'!X8-'Data - Simülasyon- P&amp;L'!E$3),6)</f>
        <v>0</v>
      </c>
      <c r="AH8" s="16">
        <f>+ROUND(Pozisyon!$U$8*('Data - Simülasyon- P&amp;L'!Y8-'Data - Simülasyon- P&amp;L'!F$3),6)</f>
        <v>4297.12</v>
      </c>
      <c r="AI8" s="16">
        <f>+ROUND(Pozisyon!$U$9*('Data - Simülasyon- P&amp;L'!Z8-'Data - Simülasyon- P&amp;L'!G$3),6)</f>
        <v>0</v>
      </c>
      <c r="AJ8" s="16">
        <f>+ROUND(Pozisyon!$U$10*('Data - Simülasyon- P&amp;L'!AA8-'Data - Simülasyon- P&amp;L'!H$3),6)</f>
        <v>0</v>
      </c>
      <c r="AK8" s="16">
        <f>+SUM(AD8:AJ8)</f>
        <v>3757.92625</v>
      </c>
      <c r="AL8" s="16">
        <f>+SMALL($AK$3:$AK$254,AB8)</f>
        <v>-205977.47399999999</v>
      </c>
    </row>
    <row r="9" spans="1:38" ht="15" thickBot="1" x14ac:dyDescent="0.35">
      <c r="A9" s="5" t="s">
        <v>290</v>
      </c>
      <c r="B9" s="6">
        <v>7.63</v>
      </c>
      <c r="C9" s="5">
        <v>9.32</v>
      </c>
      <c r="D9" s="6">
        <v>2.63</v>
      </c>
      <c r="E9" s="5">
        <v>1.1299999999999999</v>
      </c>
      <c r="F9" s="5">
        <v>4.96</v>
      </c>
      <c r="G9" s="5">
        <v>4.34</v>
      </c>
      <c r="H9" s="5">
        <v>3.39</v>
      </c>
      <c r="J9" s="5" t="s">
        <v>290</v>
      </c>
      <c r="K9" s="11">
        <f>+ROUND(LN(B9/B10),6)</f>
        <v>-1.8182E-2</v>
      </c>
      <c r="L9" s="11">
        <f>+ROUND(LN(C9/C10),6)</f>
        <v>-6.417E-3</v>
      </c>
      <c r="M9" s="11">
        <f>+ROUND(LN(D9/D10),6)</f>
        <v>-2.6268E-2</v>
      </c>
      <c r="N9" s="11">
        <f>+ROUND(LN(E9/E10),6)</f>
        <v>-8.8109999999999994E-3</v>
      </c>
      <c r="O9" s="11">
        <f>+ROUND(LN(F9/F10),6)</f>
        <v>-1.2024E-2</v>
      </c>
      <c r="P9" s="11">
        <f>+ROUND(LN(G9/G10),6)</f>
        <v>-1.3729999999999999E-2</v>
      </c>
      <c r="Q9" s="11">
        <f>+ROUND(LN(H9/H10),6)</f>
        <v>-5.8820000000000001E-3</v>
      </c>
      <c r="R9" s="3"/>
      <c r="T9" s="5" t="s">
        <v>8</v>
      </c>
      <c r="U9" s="15">
        <f>+ROUND(B$3*EXP(K9),6)</f>
        <v>7.4630650000000003</v>
      </c>
      <c r="V9" s="15">
        <f>+ROUND(C$3*EXP(L9),6)</f>
        <v>9.2901930000000004</v>
      </c>
      <c r="W9" s="15">
        <f>+ROUND(D$3*EXP(M9),6)</f>
        <v>2.6981850000000001</v>
      </c>
      <c r="X9" s="15">
        <f>+ROUND(E$3*EXP(N9),6)</f>
        <v>1.139912</v>
      </c>
      <c r="Y9" s="15">
        <f>+ROUND(F$3*EXP(O9),6)</f>
        <v>4.9204790000000003</v>
      </c>
      <c r="Z9" s="15">
        <f>+ROUND(G$3*EXP(P9),6)</f>
        <v>4.2709549999999998</v>
      </c>
      <c r="AA9" s="15">
        <f>+ROUND(H$3*EXP(Q9),6)</f>
        <v>3.3999429999999999</v>
      </c>
      <c r="AB9" s="1">
        <v>7</v>
      </c>
      <c r="AC9" s="5" t="s">
        <v>8</v>
      </c>
      <c r="AD9" s="16">
        <f>+ROUND(Pozisyon!$U$4*('Data - Simülasyon- P&amp;L'!U9-'Data - Simülasyon- P&amp;L'!B$3),6)</f>
        <v>-19718.64</v>
      </c>
      <c r="AE9" s="16">
        <f>+ROUND(Pozisyon!$U$5*('Data - Simülasyon- P&amp;L'!V9-'Data - Simülasyon- P&amp;L'!C$3),6)</f>
        <v>-1495.175</v>
      </c>
      <c r="AF9" s="16">
        <f>+ROUND(Pozisyon!$U$6*('Data - Simülasyon- P&amp;L'!W9-'Data - Simülasyon- P&amp;L'!D$3),6)</f>
        <v>-1346.53125</v>
      </c>
      <c r="AG9" s="16">
        <f>+ROUND(Pozisyon!$U$7*('Data - Simülasyon- P&amp;L'!X9-'Data - Simülasyon- P&amp;L'!E$3),6)</f>
        <v>-3561.0639999999999</v>
      </c>
      <c r="AH9" s="16">
        <f>+ROUND(Pozisyon!$U$8*('Data - Simülasyon- P&amp;L'!Y9-'Data - Simülasyon- P&amp;L'!F$3),6)</f>
        <v>-12737.494000000001</v>
      </c>
      <c r="AI9" s="16">
        <f>+ROUND(Pozisyon!$U$9*('Data - Simülasyon- P&amp;L'!Z9-'Data - Simülasyon- P&amp;L'!G$3),6)</f>
        <v>-17772.544999999998</v>
      </c>
      <c r="AJ9" s="16">
        <f>+ROUND(Pozisyon!$U$10*('Data - Simülasyon- P&amp;L'!AA9-'Data - Simülasyon- P&amp;L'!H$3),6)</f>
        <v>-7040.0069999999996</v>
      </c>
      <c r="AK9" s="16">
        <f>+SUM(AD9:AJ9)</f>
        <v>-63671.456249999996</v>
      </c>
      <c r="AL9" s="16">
        <f>+SMALL($AK$3:$AK$254,AB9)</f>
        <v>-192471.416</v>
      </c>
    </row>
    <row r="10" spans="1:38" ht="15" thickBot="1" x14ac:dyDescent="0.35">
      <c r="A10" s="5" t="s">
        <v>291</v>
      </c>
      <c r="B10" s="6">
        <v>7.77</v>
      </c>
      <c r="C10" s="5">
        <v>9.3800000000000008</v>
      </c>
      <c r="D10" s="6">
        <v>2.7</v>
      </c>
      <c r="E10" s="5">
        <v>1.1399999999999999</v>
      </c>
      <c r="F10" s="5">
        <v>5.0199999999999996</v>
      </c>
      <c r="G10" s="5">
        <v>4.4000000000000004</v>
      </c>
      <c r="H10" s="5">
        <v>3.41</v>
      </c>
      <c r="J10" s="5" t="s">
        <v>291</v>
      </c>
      <c r="K10" s="11">
        <f>+ROUND(LN(B10/B11),6)</f>
        <v>-1.286E-3</v>
      </c>
      <c r="L10" s="11">
        <f>+ROUND(LN(C10/C11),6)</f>
        <v>-1.0660000000000001E-3</v>
      </c>
      <c r="M10" s="11">
        <f>+ROUND(LN(D10/D11),6)</f>
        <v>3.7109999999999999E-3</v>
      </c>
      <c r="N10" s="11">
        <f>+ROUND(LN(E10/E11),6)</f>
        <v>0</v>
      </c>
      <c r="O10" s="11">
        <f>+ROUND(LN(F10/F11),6)</f>
        <v>-5.9579999999999998E-3</v>
      </c>
      <c r="P10" s="11">
        <f>+ROUND(LN(G10/G11),6)</f>
        <v>-6.7949999999999998E-3</v>
      </c>
      <c r="Q10" s="11">
        <f>+ROUND(LN(H10/H11),6)</f>
        <v>-8.7589999999999994E-3</v>
      </c>
      <c r="R10" s="3"/>
      <c r="T10" s="5" t="s">
        <v>9</v>
      </c>
      <c r="U10" s="15">
        <f>+ROUND(B$3*EXP(K10),6)</f>
        <v>7.5902329999999996</v>
      </c>
      <c r="V10" s="15">
        <f>+ROUND(C$3*EXP(L10),6)</f>
        <v>9.3400379999999998</v>
      </c>
      <c r="W10" s="15">
        <f>+ROUND(D$3*EXP(M10),6)</f>
        <v>2.7802989999999999</v>
      </c>
      <c r="X10" s="15">
        <f>+ROUND(E$3*EXP(N10),6)</f>
        <v>1.1499999999999999</v>
      </c>
      <c r="Y10" s="15">
        <f>+ROUND(F$3*EXP(O10),6)</f>
        <v>4.9504169999999998</v>
      </c>
      <c r="Z10" s="15">
        <f>+ROUND(G$3*EXP(P10),6)</f>
        <v>4.3006770000000003</v>
      </c>
      <c r="AA10" s="15">
        <f>+ROUND(H$3*EXP(Q10),6)</f>
        <v>3.3901750000000002</v>
      </c>
      <c r="AB10" s="1">
        <v>8</v>
      </c>
      <c r="AC10" s="5" t="s">
        <v>9</v>
      </c>
      <c r="AD10" s="16">
        <f>+ROUND(Pozisyon!$U$4*('Data - Simülasyon- P&amp;L'!U10-'Data - Simülasyon- P&amp;L'!B$3),6)</f>
        <v>-1406.4480000000001</v>
      </c>
      <c r="AE10" s="16">
        <f>+ROUND(Pozisyon!$U$5*('Data - Simülasyon- P&amp;L'!V10-'Data - Simülasyon- P&amp;L'!C$3),6)</f>
        <v>-249.05</v>
      </c>
      <c r="AF10" s="16">
        <f>+ROUND(Pozisyon!$U$6*('Data - Simülasyon- P&amp;L'!W10-'Data - Simülasyon- P&amp;L'!D$3),6)</f>
        <v>193.10624999999999</v>
      </c>
      <c r="AG10" s="16">
        <f>+ROUND(Pozisyon!$U$7*('Data - Simülasyon- P&amp;L'!X10-'Data - Simülasyon- P&amp;L'!E$3),6)</f>
        <v>0</v>
      </c>
      <c r="AH10" s="16">
        <f>+ROUND(Pozisyon!$U$8*('Data - Simülasyon- P&amp;L'!Y10-'Data - Simülasyon- P&amp;L'!F$3),6)</f>
        <v>-6330.7619999999997</v>
      </c>
      <c r="AI10" s="16">
        <f>+ROUND(Pozisyon!$U$9*('Data - Simülasyon- P&amp;L'!Z10-'Data - Simülasyon- P&amp;L'!G$3),6)</f>
        <v>-8826.223</v>
      </c>
      <c r="AJ10" s="16">
        <f>+ROUND(Pozisyon!$U$10*('Data - Simülasyon- P&amp;L'!AA10-'Data - Simülasyon- P&amp;L'!H$3),6)</f>
        <v>-10468.575000000001</v>
      </c>
      <c r="AK10" s="16">
        <f>+SUM(AD10:AJ10)</f>
        <v>-27087.95175</v>
      </c>
      <c r="AL10" s="16">
        <f>+SMALL($AK$3:$AK$254,AB10)</f>
        <v>-188402.25649999999</v>
      </c>
    </row>
    <row r="11" spans="1:38" ht="15" thickBot="1" x14ac:dyDescent="0.35">
      <c r="A11" s="5" t="s">
        <v>292</v>
      </c>
      <c r="B11" s="6">
        <v>7.78</v>
      </c>
      <c r="C11" s="5">
        <v>9.39</v>
      </c>
      <c r="D11" s="6">
        <v>2.69</v>
      </c>
      <c r="E11" s="5">
        <v>1.1399999999999999</v>
      </c>
      <c r="F11" s="5">
        <v>5.05</v>
      </c>
      <c r="G11" s="5">
        <v>4.43</v>
      </c>
      <c r="H11" s="5">
        <v>3.44</v>
      </c>
      <c r="J11" s="5" t="s">
        <v>292</v>
      </c>
      <c r="K11" s="11">
        <f>+ROUND(LN(B11/B12),6)</f>
        <v>1.1636000000000001E-2</v>
      </c>
      <c r="L11" s="11">
        <f>+ROUND(LN(C11/C12),6)</f>
        <v>3.2000000000000002E-3</v>
      </c>
      <c r="M11" s="11">
        <f>+ROUND(LN(D11/D12),6)</f>
        <v>1.1214999999999999E-2</v>
      </c>
      <c r="N11" s="11">
        <f>+ROUND(LN(E11/E12),6)</f>
        <v>0</v>
      </c>
      <c r="O11" s="11">
        <f>+ROUND(LN(F11/F12),6)</f>
        <v>3.9680000000000002E-3</v>
      </c>
      <c r="P11" s="11">
        <f>+ROUND(LN(G11/G12),6)</f>
        <v>2.2599999999999999E-3</v>
      </c>
      <c r="Q11" s="11">
        <f>+ROUND(LN(H11/H12),6)</f>
        <v>0</v>
      </c>
      <c r="R11" s="3"/>
      <c r="T11" s="5" t="s">
        <v>10</v>
      </c>
      <c r="U11" s="15">
        <f>+ROUND(B$3*EXP(K11),6)</f>
        <v>7.6889500000000002</v>
      </c>
      <c r="V11" s="15">
        <f>+ROUND(C$3*EXP(L11),6)</f>
        <v>9.3799679999999999</v>
      </c>
      <c r="W11" s="15">
        <f>+ROUND(D$3*EXP(M11),6)</f>
        <v>2.80124</v>
      </c>
      <c r="X11" s="15">
        <f>+ROUND(E$3*EXP(N11),6)</f>
        <v>1.1499999999999999</v>
      </c>
      <c r="Y11" s="15">
        <f>+ROUND(F$3*EXP(O11),6)</f>
        <v>4.9997999999999996</v>
      </c>
      <c r="Z11" s="15">
        <f>+ROUND(G$3*EXP(P11),6)</f>
        <v>4.3397969999999999</v>
      </c>
      <c r="AA11" s="15">
        <f>+ROUND(H$3*EXP(Q11),6)</f>
        <v>3.42</v>
      </c>
      <c r="AB11" s="1">
        <v>9</v>
      </c>
      <c r="AC11" s="5" t="s">
        <v>10</v>
      </c>
      <c r="AD11" s="16">
        <f>+ROUND(Pozisyon!$U$4*('Data - Simülasyon- P&amp;L'!U11-'Data - Simülasyon- P&amp;L'!B$3),6)</f>
        <v>12808.8</v>
      </c>
      <c r="AE11" s="16">
        <f>+ROUND(Pozisyon!$U$5*('Data - Simülasyon- P&amp;L'!V11-'Data - Simülasyon- P&amp;L'!C$3),6)</f>
        <v>749.2</v>
      </c>
      <c r="AF11" s="16">
        <f>+ROUND(Pozisyon!$U$6*('Data - Simülasyon- P&amp;L'!W11-'Data - Simülasyon- P&amp;L'!D$3),6)</f>
        <v>585.75</v>
      </c>
      <c r="AG11" s="16">
        <f>+ROUND(Pozisyon!$U$7*('Data - Simülasyon- P&amp;L'!X11-'Data - Simülasyon- P&amp;L'!E$3),6)</f>
        <v>0</v>
      </c>
      <c r="AH11" s="16">
        <f>+ROUND(Pozisyon!$U$8*('Data - Simülasyon- P&amp;L'!Y11-'Data - Simülasyon- P&amp;L'!F$3),6)</f>
        <v>4237.2</v>
      </c>
      <c r="AI11" s="16">
        <f>+ROUND(Pozisyon!$U$9*('Data - Simülasyon- P&amp;L'!Z11-'Data - Simülasyon- P&amp;L'!G$3),6)</f>
        <v>2948.8969999999999</v>
      </c>
      <c r="AJ11" s="16">
        <f>+ROUND(Pozisyon!$U$10*('Data - Simülasyon- P&amp;L'!AA11-'Data - Simülasyon- P&amp;L'!H$3),6)</f>
        <v>0</v>
      </c>
      <c r="AK11" s="16">
        <f>+SUM(AD11:AJ11)</f>
        <v>21329.847000000002</v>
      </c>
      <c r="AL11" s="16">
        <f>+SMALL($AK$3:$AK$254,AB11)</f>
        <v>-178760.36</v>
      </c>
    </row>
    <row r="12" spans="1:38" ht="15" thickBot="1" x14ac:dyDescent="0.35">
      <c r="A12" s="5" t="s">
        <v>293</v>
      </c>
      <c r="B12" s="6">
        <v>7.69</v>
      </c>
      <c r="C12" s="5">
        <v>9.36</v>
      </c>
      <c r="D12" s="6">
        <v>2.66</v>
      </c>
      <c r="E12" s="5">
        <v>1.1399999999999999</v>
      </c>
      <c r="F12" s="5">
        <v>5.03</v>
      </c>
      <c r="G12" s="5">
        <v>4.42</v>
      </c>
      <c r="H12" s="5">
        <v>3.44</v>
      </c>
      <c r="J12" s="5" t="s">
        <v>293</v>
      </c>
      <c r="K12" s="11">
        <f>+ROUND(LN(B12/B13),6)</f>
        <v>0</v>
      </c>
      <c r="L12" s="11">
        <f>+ROUND(LN(C12/C13),6)</f>
        <v>0</v>
      </c>
      <c r="M12" s="11">
        <f>+ROUND(LN(D12/D13),6)</f>
        <v>-4.4124999999999998E-2</v>
      </c>
      <c r="N12" s="11">
        <f>+ROUND(LN(E12/E13),6)</f>
        <v>-8.7340000000000004E-3</v>
      </c>
      <c r="O12" s="11">
        <f>+ROUND(LN(F12/F13),6)</f>
        <v>0</v>
      </c>
      <c r="P12" s="11">
        <f>+ROUND(LN(G12/G13),6)</f>
        <v>4.535E-3</v>
      </c>
      <c r="Q12" s="11">
        <f>+ROUND(LN(H12/H13),6)</f>
        <v>-5.7970000000000001E-3</v>
      </c>
      <c r="R12" s="3"/>
      <c r="T12" s="5" t="s">
        <v>11</v>
      </c>
      <c r="U12" s="15">
        <f>+ROUND(B$3*EXP(K12),6)</f>
        <v>7.6</v>
      </c>
      <c r="V12" s="15">
        <f>+ROUND(C$3*EXP(L12),6)</f>
        <v>9.35</v>
      </c>
      <c r="W12" s="15">
        <f>+ROUND(D$3*EXP(M12),6)</f>
        <v>2.6504310000000002</v>
      </c>
      <c r="X12" s="15">
        <f>+ROUND(E$3*EXP(N12),6)</f>
        <v>1.1399999999999999</v>
      </c>
      <c r="Y12" s="15">
        <f>+ROUND(F$3*EXP(O12),6)</f>
        <v>4.9800000000000004</v>
      </c>
      <c r="Z12" s="15">
        <f>+ROUND(G$3*EXP(P12),6)</f>
        <v>4.3496810000000004</v>
      </c>
      <c r="AA12" s="15">
        <f>+ROUND(H$3*EXP(Q12),6)</f>
        <v>3.4002319999999999</v>
      </c>
      <c r="AB12" s="1">
        <v>10</v>
      </c>
      <c r="AC12" s="5" t="s">
        <v>11</v>
      </c>
      <c r="AD12" s="16">
        <f>+ROUND(Pozisyon!$U$4*('Data - Simülasyon- P&amp;L'!U12-'Data - Simülasyon- P&amp;L'!B$3),6)</f>
        <v>0</v>
      </c>
      <c r="AE12" s="16">
        <f>+ROUND(Pozisyon!$U$5*('Data - Simülasyon- P&amp;L'!V12-'Data - Simülasyon- P&amp;L'!C$3),6)</f>
        <v>0</v>
      </c>
      <c r="AF12" s="16">
        <f>+ROUND(Pozisyon!$U$6*('Data - Simülasyon- P&amp;L'!W12-'Data - Simülasyon- P&amp;L'!D$3),6)</f>
        <v>-2241.9187499999998</v>
      </c>
      <c r="AG12" s="16">
        <f>+ROUND(Pozisyon!$U$7*('Data - Simülasyon- P&amp;L'!X12-'Data - Simülasyon- P&amp;L'!E$3),6)</f>
        <v>-3530</v>
      </c>
      <c r="AH12" s="16">
        <f>+ROUND(Pozisyon!$U$8*('Data - Simülasyon- P&amp;L'!Y12-'Data - Simülasyon- P&amp;L'!F$3),6)</f>
        <v>0</v>
      </c>
      <c r="AI12" s="16">
        <f>+ROUND(Pozisyon!$U$9*('Data - Simülasyon- P&amp;L'!Z12-'Data - Simülasyon- P&amp;L'!G$3),6)</f>
        <v>5923.9809999999998</v>
      </c>
      <c r="AJ12" s="16">
        <f>+ROUND(Pozisyon!$U$10*('Data - Simülasyon- P&amp;L'!AA12-'Data - Simülasyon- P&amp;L'!H$3),6)</f>
        <v>-6938.5680000000002</v>
      </c>
      <c r="AK12" s="16">
        <f>+SUM(AD12:AJ12)</f>
        <v>-6786.5057500000003</v>
      </c>
      <c r="AL12" s="16">
        <f>+SMALL($AK$3:$AK$254,AB12)</f>
        <v>-149136.73125000001</v>
      </c>
    </row>
    <row r="13" spans="1:38" ht="15" thickBot="1" x14ac:dyDescent="0.35">
      <c r="A13" s="5" t="s">
        <v>294</v>
      </c>
      <c r="B13" s="6">
        <v>7.69</v>
      </c>
      <c r="C13" s="5">
        <v>9.36</v>
      </c>
      <c r="D13" s="6">
        <v>2.78</v>
      </c>
      <c r="E13" s="5">
        <v>1.1499999999999999</v>
      </c>
      <c r="F13" s="5">
        <v>5.03</v>
      </c>
      <c r="G13" s="5">
        <v>4.4000000000000004</v>
      </c>
      <c r="H13" s="5">
        <v>3.46</v>
      </c>
      <c r="J13" s="5" t="s">
        <v>294</v>
      </c>
      <c r="K13" s="11">
        <f>+ROUND(LN(B13/B14),6)</f>
        <v>-2.5969999999999999E-3</v>
      </c>
      <c r="L13" s="11">
        <f>+ROUND(LN(C13/C14),6)</f>
        <v>5.3559999999999997E-3</v>
      </c>
      <c r="M13" s="11">
        <f>+ROUND(LN(D13/D14),6)</f>
        <v>-1.7826000000000002E-2</v>
      </c>
      <c r="N13" s="11">
        <f>+ROUND(LN(E13/E14),6)</f>
        <v>0</v>
      </c>
      <c r="O13" s="11">
        <f>+ROUND(LN(F13/F14),6)</f>
        <v>1.6032000000000001E-2</v>
      </c>
      <c r="P13" s="11">
        <f>+ROUND(LN(G13/G14),6)</f>
        <v>-4.535E-3</v>
      </c>
      <c r="Q13" s="11">
        <f>+ROUND(LN(H13/H14),6)</f>
        <v>-1.1494000000000001E-2</v>
      </c>
      <c r="R13" s="3"/>
      <c r="T13" s="5" t="s">
        <v>12</v>
      </c>
      <c r="U13" s="15">
        <f>+ROUND(B$3*EXP(K13),6)</f>
        <v>7.5802880000000004</v>
      </c>
      <c r="V13" s="15">
        <f>+ROUND(C$3*EXP(L13),6)</f>
        <v>9.4002130000000008</v>
      </c>
      <c r="W13" s="15">
        <f>+ROUND(D$3*EXP(M13),6)</f>
        <v>2.7210589999999999</v>
      </c>
      <c r="X13" s="15">
        <f>+ROUND(E$3*EXP(N13),6)</f>
        <v>1.1499999999999999</v>
      </c>
      <c r="Y13" s="15">
        <f>+ROUND(F$3*EXP(O13),6)</f>
        <v>5.0604829999999996</v>
      </c>
      <c r="Z13" s="15">
        <f>+ROUND(G$3*EXP(P13),6)</f>
        <v>4.3104079999999998</v>
      </c>
      <c r="AA13" s="15">
        <f>+ROUND(H$3*EXP(Q13),6)</f>
        <v>3.380916</v>
      </c>
      <c r="AB13" s="1">
        <v>11</v>
      </c>
      <c r="AC13" s="5" t="s">
        <v>12</v>
      </c>
      <c r="AD13" s="16">
        <f>+ROUND(Pozisyon!$U$4*('Data - Simülasyon- P&amp;L'!U13-'Data - Simülasyon- P&amp;L'!B$3),6)</f>
        <v>-2838.5279999999998</v>
      </c>
      <c r="AE13" s="16">
        <f>+ROUND(Pozisyon!$U$5*('Data - Simülasyon- P&amp;L'!V13-'Data - Simülasyon- P&amp;L'!C$3),6)</f>
        <v>1255.325</v>
      </c>
      <c r="AF13" s="16">
        <f>+ROUND(Pozisyon!$U$6*('Data - Simülasyon- P&amp;L'!W13-'Data - Simülasyon- P&amp;L'!D$3),6)</f>
        <v>-917.64374999999995</v>
      </c>
      <c r="AG13" s="16">
        <f>+ROUND(Pozisyon!$U$7*('Data - Simülasyon- P&amp;L'!X13-'Data - Simülasyon- P&amp;L'!E$3),6)</f>
        <v>0</v>
      </c>
      <c r="AH13" s="16">
        <f>+ROUND(Pozisyon!$U$8*('Data - Simülasyon- P&amp;L'!Y13-'Data - Simülasyon- P&amp;L'!F$3),6)</f>
        <v>17223.362000000001</v>
      </c>
      <c r="AI13" s="16">
        <f>+ROUND(Pozisyon!$U$9*('Data - Simülasyon- P&amp;L'!Z13-'Data - Simülasyon- P&amp;L'!G$3),6)</f>
        <v>-5897.192</v>
      </c>
      <c r="AJ13" s="16">
        <f>+ROUND(Pozisyon!$U$10*('Data - Simülasyon- P&amp;L'!AA13-'Data - Simülasyon- P&amp;L'!H$3),6)</f>
        <v>-13718.484</v>
      </c>
      <c r="AK13" s="16">
        <f>+SUM(AD13:AJ13)</f>
        <v>-4893.1607499999991</v>
      </c>
      <c r="AL13" s="16">
        <f>+SMALL($AK$3:$AK$254,AB13)</f>
        <v>-142814.27475000001</v>
      </c>
    </row>
    <row r="14" spans="1:38" ht="15" thickBot="1" x14ac:dyDescent="0.35">
      <c r="A14" s="5" t="s">
        <v>295</v>
      </c>
      <c r="B14" s="6">
        <v>7.71</v>
      </c>
      <c r="C14" s="5">
        <v>9.31</v>
      </c>
      <c r="D14" s="6">
        <v>2.83</v>
      </c>
      <c r="E14" s="5">
        <v>1.1499999999999999</v>
      </c>
      <c r="F14" s="5">
        <v>4.95</v>
      </c>
      <c r="G14" s="5">
        <v>4.42</v>
      </c>
      <c r="H14" s="5">
        <v>3.5</v>
      </c>
      <c r="J14" s="5" t="s">
        <v>295</v>
      </c>
      <c r="K14" s="11">
        <f>+ROUND(LN(B14/B15),6)</f>
        <v>2.5969999999999999E-3</v>
      </c>
      <c r="L14" s="11">
        <f>+ROUND(LN(C14/C15),6)</f>
        <v>3.228E-3</v>
      </c>
      <c r="M14" s="11">
        <f>+ROUND(LN(D14/D15),6)</f>
        <v>-3.5270000000000002E-3</v>
      </c>
      <c r="N14" s="11">
        <f>+ROUND(LN(E14/E15),6)</f>
        <v>8.7340000000000004E-3</v>
      </c>
      <c r="O14" s="11">
        <f>+ROUND(LN(F14/F15),6)</f>
        <v>4.0489999999999996E-3</v>
      </c>
      <c r="P14" s="11">
        <f>+ROUND(LN(G14/G15),6)</f>
        <v>-2.2599999999999999E-3</v>
      </c>
      <c r="Q14" s="11">
        <f>+ROUND(LN(H14/H15),6)</f>
        <v>2.8609999999999998E-3</v>
      </c>
      <c r="R14" s="3"/>
      <c r="T14" s="5" t="s">
        <v>13</v>
      </c>
      <c r="U14" s="15">
        <f>+ROUND(B$3*EXP(K14),6)</f>
        <v>7.6197629999999998</v>
      </c>
      <c r="V14" s="15">
        <f>+ROUND(C$3*EXP(L14),6)</f>
        <v>9.3802310000000002</v>
      </c>
      <c r="W14" s="15">
        <f>+ROUND(D$3*EXP(M14),6)</f>
        <v>2.7602470000000001</v>
      </c>
      <c r="X14" s="15">
        <f>+ROUND(E$3*EXP(N14),6)</f>
        <v>1.160088</v>
      </c>
      <c r="Y14" s="15">
        <f>+ROUND(F$3*EXP(O14),6)</f>
        <v>5.0002050000000002</v>
      </c>
      <c r="Z14" s="15">
        <f>+ROUND(G$3*EXP(P14),6)</f>
        <v>4.3202249999999998</v>
      </c>
      <c r="AA14" s="15">
        <f>+ROUND(H$3*EXP(Q14),6)</f>
        <v>3.429799</v>
      </c>
      <c r="AB14" s="1">
        <v>12</v>
      </c>
      <c r="AC14" s="5" t="s">
        <v>13</v>
      </c>
      <c r="AD14" s="16">
        <f>+ROUND(Pozisyon!$U$4*('Data - Simülasyon- P&amp;L'!U14-'Data - Simülasyon- P&amp;L'!B$3),6)</f>
        <v>2845.8719999999998</v>
      </c>
      <c r="AE14" s="16">
        <f>+ROUND(Pozisyon!$U$5*('Data - Simülasyon- P&amp;L'!V14-'Data - Simülasyon- P&amp;L'!C$3),6)</f>
        <v>755.77499999999998</v>
      </c>
      <c r="AF14" s="16">
        <f>+ROUND(Pozisyon!$U$6*('Data - Simülasyon- P&amp;L'!W14-'Data - Simülasyon- P&amp;L'!D$3),6)</f>
        <v>-182.86875000000001</v>
      </c>
      <c r="AG14" s="16">
        <f>+ROUND(Pozisyon!$U$7*('Data - Simülasyon- P&amp;L'!X14-'Data - Simülasyon- P&amp;L'!E$3),6)</f>
        <v>3561.0639999999999</v>
      </c>
      <c r="AH14" s="16">
        <f>+ROUND(Pozisyon!$U$8*('Data - Simülasyon- P&amp;L'!Y14-'Data - Simülasyon- P&amp;L'!F$3),6)</f>
        <v>4323.87</v>
      </c>
      <c r="AI14" s="16">
        <f>+ROUND(Pozisyon!$U$9*('Data - Simülasyon- P&amp;L'!Z14-'Data - Simülasyon- P&amp;L'!G$3),6)</f>
        <v>-2942.2750000000001</v>
      </c>
      <c r="AJ14" s="16">
        <f>+ROUND(Pozisyon!$U$10*('Data - Simülasyon- P&amp;L'!AA14-'Data - Simülasyon- P&amp;L'!H$3),6)</f>
        <v>3439.4490000000001</v>
      </c>
      <c r="AK14" s="16">
        <f>+SUM(AD14:AJ14)</f>
        <v>11800.886250000001</v>
      </c>
      <c r="AL14" s="16">
        <f>+SMALL($AK$3:$AK$254,AB14)</f>
        <v>-139094.68625</v>
      </c>
    </row>
    <row r="15" spans="1:38" ht="15" thickBot="1" x14ac:dyDescent="0.35">
      <c r="A15" s="5" t="s">
        <v>296</v>
      </c>
      <c r="B15" s="6">
        <v>7.69</v>
      </c>
      <c r="C15" s="5">
        <v>9.2799999999999994</v>
      </c>
      <c r="D15" s="6">
        <v>2.84</v>
      </c>
      <c r="E15" s="5">
        <v>1.1399999999999999</v>
      </c>
      <c r="F15" s="5">
        <v>4.93</v>
      </c>
      <c r="G15" s="5">
        <v>4.43</v>
      </c>
      <c r="H15" s="5">
        <v>3.49</v>
      </c>
      <c r="J15" s="5" t="s">
        <v>296</v>
      </c>
      <c r="K15" s="11">
        <f>+ROUND(LN(B15/B16),6)</f>
        <v>9.1439999999999994E-3</v>
      </c>
      <c r="L15" s="11">
        <f>+ROUND(LN(C15/C16),6)</f>
        <v>1.0834E-2</v>
      </c>
      <c r="M15" s="11">
        <f>+ROUND(LN(D15/D16),6)</f>
        <v>6.1726000000000003E-2</v>
      </c>
      <c r="N15" s="11">
        <f>+ROUND(LN(E15/E16),6)</f>
        <v>5.4066999999999997E-2</v>
      </c>
      <c r="O15" s="11">
        <f>+ROUND(LN(F15/F16),6)</f>
        <v>2.2565000000000002E-2</v>
      </c>
      <c r="P15" s="11">
        <f>+ROUND(LN(G15/G16),6)</f>
        <v>1.3637E-2</v>
      </c>
      <c r="Q15" s="11">
        <f>+ROUND(LN(H15/H16),6)</f>
        <v>8.633E-3</v>
      </c>
      <c r="R15" s="3"/>
      <c r="T15" s="5" t="s">
        <v>14</v>
      </c>
      <c r="U15" s="15">
        <f>+ROUND(B$3*EXP(K15),6)</f>
        <v>7.6698130000000004</v>
      </c>
      <c r="V15" s="15">
        <f>+ROUND(C$3*EXP(L15),6)</f>
        <v>9.4518489999999993</v>
      </c>
      <c r="W15" s="15">
        <f>+ROUND(D$3*EXP(M15),6)</f>
        <v>2.9463680000000001</v>
      </c>
      <c r="X15" s="15">
        <f>+ROUND(E$3*EXP(N15),6)</f>
        <v>1.213889</v>
      </c>
      <c r="Y15" s="15">
        <f>+ROUND(F$3*EXP(O15),6)</f>
        <v>5.0936510000000004</v>
      </c>
      <c r="Z15" s="15">
        <f>+ROUND(G$3*EXP(P15),6)</f>
        <v>4.3894529999999996</v>
      </c>
      <c r="AA15" s="15">
        <f>+ROUND(H$3*EXP(Q15),6)</f>
        <v>3.4496530000000001</v>
      </c>
      <c r="AB15" s="1">
        <v>13</v>
      </c>
      <c r="AC15" s="5" t="s">
        <v>14</v>
      </c>
      <c r="AD15" s="16">
        <f>+ROUND(Pozisyon!$U$4*('Data - Simülasyon- P&amp;L'!U15-'Data - Simülasyon- P&amp;L'!B$3),6)</f>
        <v>10053.072</v>
      </c>
      <c r="AE15" s="16">
        <f>+ROUND(Pozisyon!$U$5*('Data - Simülasyon- P&amp;L'!V15-'Data - Simülasyon- P&amp;L'!C$3),6)</f>
        <v>2546.2249999999999</v>
      </c>
      <c r="AF15" s="16">
        <f>+ROUND(Pozisyon!$U$6*('Data - Simülasyon- P&amp;L'!W15-'Data - Simülasyon- P&amp;L'!D$3),6)</f>
        <v>3306.9</v>
      </c>
      <c r="AG15" s="16">
        <f>+ROUND(Pozisyon!$U$7*('Data - Simülasyon- P&amp;L'!X15-'Data - Simülasyon- P&amp;L'!E$3),6)</f>
        <v>22552.816999999999</v>
      </c>
      <c r="AH15" s="16">
        <f>+ROUND(Pozisyon!$U$8*('Data - Simülasyon- P&amp;L'!Y15-'Data - Simülasyon- P&amp;L'!F$3),6)</f>
        <v>24321.313999999998</v>
      </c>
      <c r="AI15" s="16">
        <f>+ROUND(Pozisyon!$U$9*('Data - Simülasyon- P&amp;L'!Z15-'Data - Simülasyon- P&amp;L'!G$3),6)</f>
        <v>17895.352999999999</v>
      </c>
      <c r="AJ15" s="16">
        <f>+ROUND(Pozisyon!$U$10*('Data - Simülasyon- P&amp;L'!AA15-'Data - Simülasyon- P&amp;L'!H$3),6)</f>
        <v>10408.203</v>
      </c>
      <c r="AK15" s="16">
        <f>+SUM(AD15:AJ15)</f>
        <v>91083.883999999991</v>
      </c>
      <c r="AL15" s="16">
        <f>+SMALL($AK$3:$AK$254,AB15)</f>
        <v>-135038.71850000002</v>
      </c>
    </row>
    <row r="16" spans="1:38" ht="15" thickBot="1" x14ac:dyDescent="0.35">
      <c r="A16" s="5" t="s">
        <v>297</v>
      </c>
      <c r="B16" s="6">
        <v>7.62</v>
      </c>
      <c r="C16" s="5">
        <v>9.18</v>
      </c>
      <c r="D16" s="6">
        <v>2.67</v>
      </c>
      <c r="E16" s="5">
        <v>1.08</v>
      </c>
      <c r="F16" s="5">
        <v>4.82</v>
      </c>
      <c r="G16" s="5">
        <v>4.37</v>
      </c>
      <c r="H16" s="5">
        <v>3.46</v>
      </c>
      <c r="J16" s="5" t="s">
        <v>297</v>
      </c>
      <c r="K16" s="11">
        <f>+ROUND(LN(B16/B17),6)</f>
        <v>3.9449999999999997E-3</v>
      </c>
      <c r="L16" s="11">
        <f>+ROUND(LN(C16/C17),6)</f>
        <v>-6.515E-3</v>
      </c>
      <c r="M16" s="11">
        <f>+ROUND(LN(D16/D17),6)</f>
        <v>3.4289E-2</v>
      </c>
      <c r="N16" s="11">
        <f>+ROUND(LN(E16/E17),6)</f>
        <v>0</v>
      </c>
      <c r="O16" s="11">
        <f>+ROUND(LN(F16/F17),6)</f>
        <v>6.2440000000000004E-3</v>
      </c>
      <c r="P16" s="11">
        <f>+ROUND(LN(G16/G17),6)</f>
        <v>0</v>
      </c>
      <c r="Q16" s="11">
        <f>+ROUND(LN(H16/H17),6)</f>
        <v>8.7080000000000005E-3</v>
      </c>
      <c r="R16" s="3"/>
      <c r="T16" s="5" t="s">
        <v>15</v>
      </c>
      <c r="U16" s="15">
        <f>+ROUND(B$3*EXP(K16),6)</f>
        <v>7.6300410000000003</v>
      </c>
      <c r="V16" s="15">
        <f>+ROUND(C$3*EXP(L16),6)</f>
        <v>9.2892829999999993</v>
      </c>
      <c r="W16" s="15">
        <f>+ROUND(D$3*EXP(M16),6)</f>
        <v>2.866628</v>
      </c>
      <c r="X16" s="15">
        <f>+ROUND(E$3*EXP(N16),6)</f>
        <v>1.1499999999999999</v>
      </c>
      <c r="Y16" s="15">
        <f>+ROUND(F$3*EXP(O16),6)</f>
        <v>5.0111920000000003</v>
      </c>
      <c r="Z16" s="15">
        <f>+ROUND(G$3*EXP(P16),6)</f>
        <v>4.33</v>
      </c>
      <c r="AA16" s="15">
        <f>+ROUND(H$3*EXP(Q16),6)</f>
        <v>3.4499110000000002</v>
      </c>
      <c r="AB16" s="1">
        <v>14</v>
      </c>
      <c r="AC16" s="5" t="s">
        <v>15</v>
      </c>
      <c r="AD16" s="16">
        <f>+ROUND(Pozisyon!$U$4*('Data - Simülasyon- P&amp;L'!U16-'Data - Simülasyon- P&amp;L'!B$3),6)</f>
        <v>4325.9040000000005</v>
      </c>
      <c r="AE16" s="16">
        <f>+ROUND(Pozisyon!$U$5*('Data - Simülasyon- P&amp;L'!V16-'Data - Simülasyon- P&amp;L'!C$3),6)</f>
        <v>-1517.925</v>
      </c>
      <c r="AF16" s="16">
        <f>+ROUND(Pozisyon!$U$6*('Data - Simülasyon- P&amp;L'!W16-'Data - Simülasyon- P&amp;L'!D$3),6)</f>
        <v>1811.7750000000001</v>
      </c>
      <c r="AG16" s="16">
        <f>+ROUND(Pozisyon!$U$7*('Data - Simülasyon- P&amp;L'!X16-'Data - Simülasyon- P&amp;L'!E$3),6)</f>
        <v>0</v>
      </c>
      <c r="AH16" s="16">
        <f>+ROUND(Pozisyon!$U$8*('Data - Simülasyon- P&amp;L'!Y16-'Data - Simülasyon- P&amp;L'!F$3),6)</f>
        <v>6675.0879999999997</v>
      </c>
      <c r="AI16" s="16">
        <f>+ROUND(Pozisyon!$U$9*('Data - Simülasyon- P&amp;L'!Z16-'Data - Simülasyon- P&amp;L'!G$3),6)</f>
        <v>0</v>
      </c>
      <c r="AJ16" s="16">
        <f>+ROUND(Pozisyon!$U$10*('Data - Simülasyon- P&amp;L'!AA16-'Data - Simülasyon- P&amp;L'!H$3),6)</f>
        <v>10498.761</v>
      </c>
      <c r="AK16" s="16">
        <f>+SUM(AD16:AJ16)</f>
        <v>21793.603000000003</v>
      </c>
      <c r="AL16" s="16">
        <f>+SMALL($AK$3:$AK$254,AB16)</f>
        <v>-132927.77575</v>
      </c>
    </row>
    <row r="17" spans="1:38" ht="15" thickBot="1" x14ac:dyDescent="0.35">
      <c r="A17" s="5" t="s">
        <v>298</v>
      </c>
      <c r="B17" s="6">
        <v>7.59</v>
      </c>
      <c r="C17" s="5">
        <v>9.24</v>
      </c>
      <c r="D17" s="6">
        <v>2.58</v>
      </c>
      <c r="E17" s="5">
        <v>1.08</v>
      </c>
      <c r="F17" s="5">
        <v>4.79</v>
      </c>
      <c r="G17" s="5">
        <v>4.37</v>
      </c>
      <c r="H17" s="5">
        <v>3.43</v>
      </c>
      <c r="J17" s="5" t="s">
        <v>298</v>
      </c>
      <c r="K17" s="11">
        <f>+ROUND(LN(B17/B18),6)</f>
        <v>2.2653E-2</v>
      </c>
      <c r="L17" s="11">
        <f>+ROUND(LN(C17/C18),6)</f>
        <v>1.1976000000000001E-2</v>
      </c>
      <c r="M17" s="11">
        <f>+ROUND(LN(D17/D18),6)</f>
        <v>2.7507E-2</v>
      </c>
      <c r="N17" s="11">
        <f>+ROUND(LN(E17/E18),6)</f>
        <v>1.8692E-2</v>
      </c>
      <c r="O17" s="11">
        <f>+ROUND(LN(F17/F18),6)</f>
        <v>1.0493000000000001E-2</v>
      </c>
      <c r="P17" s="11">
        <f>+ROUND(LN(G17/G18),6)</f>
        <v>1.6147999999999999E-2</v>
      </c>
      <c r="Q17" s="11">
        <f>+ROUND(LN(H17/H18),6)</f>
        <v>2.9588E-2</v>
      </c>
      <c r="R17" s="3"/>
      <c r="T17" s="5" t="s">
        <v>16</v>
      </c>
      <c r="U17" s="15">
        <f>+ROUND(B$3*EXP(K17),6)</f>
        <v>7.7741280000000001</v>
      </c>
      <c r="V17" s="15">
        <f>+ROUND(C$3*EXP(L17),6)</f>
        <v>9.4626490000000008</v>
      </c>
      <c r="W17" s="15">
        <f>+ROUND(D$3*EXP(M17),6)</f>
        <v>2.8472520000000001</v>
      </c>
      <c r="X17" s="15">
        <f>+ROUND(E$3*EXP(N17),6)</f>
        <v>1.1716979999999999</v>
      </c>
      <c r="Y17" s="15">
        <f>+ROUND(F$3*EXP(O17),6)</f>
        <v>5.0325300000000004</v>
      </c>
      <c r="Z17" s="15">
        <f>+ROUND(G$3*EXP(P17),6)</f>
        <v>4.4004880000000002</v>
      </c>
      <c r="AA17" s="15">
        <f>+ROUND(H$3*EXP(Q17),6)</f>
        <v>3.5227029999999999</v>
      </c>
      <c r="AB17" s="1">
        <v>15</v>
      </c>
      <c r="AC17" s="5" t="s">
        <v>16</v>
      </c>
      <c r="AD17" s="16">
        <f>+ROUND(Pozisyon!$U$4*('Data - Simülasyon- P&amp;L'!U17-'Data - Simülasyon- P&amp;L'!B$3),6)</f>
        <v>25074.432000000001</v>
      </c>
      <c r="AE17" s="16">
        <f>+ROUND(Pozisyon!$U$5*('Data - Simülasyon- P&amp;L'!V17-'Data - Simülasyon- P&amp;L'!C$3),6)</f>
        <v>2816.2249999999999</v>
      </c>
      <c r="AF17" s="16">
        <f>+ROUND(Pozisyon!$U$6*('Data - Simülasyon- P&amp;L'!W17-'Data - Simülasyon- P&amp;L'!D$3),6)</f>
        <v>1448.4749999999999</v>
      </c>
      <c r="AG17" s="16">
        <f>+ROUND(Pozisyon!$U$7*('Data - Simülasyon- P&amp;L'!X17-'Data - Simülasyon- P&amp;L'!E$3),6)</f>
        <v>7659.3940000000002</v>
      </c>
      <c r="AH17" s="16">
        <f>+ROUND(Pozisyon!$U$8*('Data - Simülasyon- P&amp;L'!Y17-'Data - Simülasyon- P&amp;L'!F$3),6)</f>
        <v>11241.42</v>
      </c>
      <c r="AI17" s="16">
        <f>+ROUND(Pozisyon!$U$9*('Data - Simülasyon- P&amp;L'!Z17-'Data - Simülasyon- P&amp;L'!G$3),6)</f>
        <v>21216.887999999999</v>
      </c>
      <c r="AJ17" s="16">
        <f>+ROUND(Pozisyon!$U$10*('Data - Simülasyon- P&amp;L'!AA17-'Data - Simülasyon- P&amp;L'!H$3),6)</f>
        <v>36048.752999999997</v>
      </c>
      <c r="AK17" s="16">
        <f>+SUM(AD17:AJ17)</f>
        <v>105505.587</v>
      </c>
      <c r="AL17" s="16">
        <f>+SMALL($AK$3:$AK$254,AB17)</f>
        <v>-130213.11899999999</v>
      </c>
    </row>
    <row r="18" spans="1:38" ht="15" thickBot="1" x14ac:dyDescent="0.35">
      <c r="A18" s="5" t="s">
        <v>299</v>
      </c>
      <c r="B18" s="6">
        <v>7.42</v>
      </c>
      <c r="C18" s="5">
        <v>9.1300000000000008</v>
      </c>
      <c r="D18" s="6">
        <v>2.5099999999999998</v>
      </c>
      <c r="E18" s="5">
        <v>1.06</v>
      </c>
      <c r="F18" s="5">
        <v>4.74</v>
      </c>
      <c r="G18" s="5">
        <v>4.3</v>
      </c>
      <c r="H18" s="5">
        <v>3.33</v>
      </c>
      <c r="J18" s="5" t="s">
        <v>299</v>
      </c>
      <c r="K18" s="11">
        <f>+ROUND(LN(B18/B19),6)</f>
        <v>-1.0723999999999999E-2</v>
      </c>
      <c r="L18" s="11">
        <f>+ROUND(LN(C18/C19),6)</f>
        <v>5.4920000000000004E-3</v>
      </c>
      <c r="M18" s="11">
        <f>+ROUND(LN(D18/D19),6)</f>
        <v>-3.1375E-2</v>
      </c>
      <c r="N18" s="11">
        <f>+ROUND(LN(E18/E19),6)</f>
        <v>-9.3900000000000008E-3</v>
      </c>
      <c r="O18" s="11">
        <f>+ROUND(LN(F18/F19),6)</f>
        <v>-1.4659999999999999E-2</v>
      </c>
      <c r="P18" s="11">
        <f>+ROUND(LN(G18/G19),6)</f>
        <v>0</v>
      </c>
      <c r="Q18" s="11">
        <f>+ROUND(LN(H18/H19),6)</f>
        <v>-8.9689999999999995E-3</v>
      </c>
      <c r="R18" s="3"/>
      <c r="T18" s="5" t="s">
        <v>17</v>
      </c>
      <c r="U18" s="15">
        <f>+ROUND(B$3*EXP(K18),6)</f>
        <v>7.5189329999999996</v>
      </c>
      <c r="V18" s="15">
        <f>+ROUND(C$3*EXP(L18),6)</f>
        <v>9.401491</v>
      </c>
      <c r="W18" s="15">
        <f>+ROUND(D$3*EXP(M18),6)</f>
        <v>2.6844399999999999</v>
      </c>
      <c r="X18" s="15">
        <f>+ROUND(E$3*EXP(N18),6)</f>
        <v>1.1392519999999999</v>
      </c>
      <c r="Y18" s="15">
        <f>+ROUND(F$3*EXP(O18),6)</f>
        <v>4.9075259999999998</v>
      </c>
      <c r="Z18" s="15">
        <f>+ROUND(G$3*EXP(P18),6)</f>
        <v>4.33</v>
      </c>
      <c r="AA18" s="15">
        <f>+ROUND(H$3*EXP(Q18),6)</f>
        <v>3.3894630000000001</v>
      </c>
      <c r="AB18" s="1">
        <v>16</v>
      </c>
      <c r="AC18" s="5" t="s">
        <v>17</v>
      </c>
      <c r="AD18" s="16">
        <f>+ROUND(Pozisyon!$U$4*('Data - Simülasyon- P&amp;L'!U18-'Data - Simülasyon- P&amp;L'!B$3),6)</f>
        <v>-11673.647999999999</v>
      </c>
      <c r="AE18" s="16">
        <f>+ROUND(Pozisyon!$U$5*('Data - Simülasyon- P&amp;L'!V18-'Data - Simülasyon- P&amp;L'!C$3),6)</f>
        <v>1287.2750000000001</v>
      </c>
      <c r="AF18" s="16">
        <f>+ROUND(Pozisyon!$U$6*('Data - Simülasyon- P&amp;L'!W18-'Data - Simülasyon- P&amp;L'!D$3),6)</f>
        <v>-1604.25</v>
      </c>
      <c r="AG18" s="16">
        <f>+ROUND(Pozisyon!$U$7*('Data - Simülasyon- P&amp;L'!X18-'Data - Simülasyon- P&amp;L'!E$3),6)</f>
        <v>-3794.0439999999999</v>
      </c>
      <c r="AH18" s="16">
        <f>+ROUND(Pozisyon!$U$8*('Data - Simülasyon- P&amp;L'!Y18-'Data - Simülasyon- P&amp;L'!F$3),6)</f>
        <v>-15509.436</v>
      </c>
      <c r="AI18" s="16">
        <f>+ROUND(Pozisyon!$U$9*('Data - Simülasyon- P&amp;L'!Z18-'Data - Simülasyon- P&amp;L'!G$3),6)</f>
        <v>0</v>
      </c>
      <c r="AJ18" s="16">
        <f>+ROUND(Pozisyon!$U$10*('Data - Simülasyon- P&amp;L'!AA18-'Data - Simülasyon- P&amp;L'!H$3),6)</f>
        <v>-10718.486999999999</v>
      </c>
      <c r="AK18" s="16">
        <f>+SUM(AD18:AJ18)</f>
        <v>-42012.59</v>
      </c>
      <c r="AL18" s="16">
        <f>+SMALL($AK$3:$AK$254,AB18)</f>
        <v>-129975.03325000001</v>
      </c>
    </row>
    <row r="19" spans="1:38" ht="15" thickBot="1" x14ac:dyDescent="0.35">
      <c r="A19" s="5" t="s">
        <v>300</v>
      </c>
      <c r="B19" s="6">
        <v>7.5</v>
      </c>
      <c r="C19" s="5">
        <v>9.08</v>
      </c>
      <c r="D19" s="6">
        <v>2.59</v>
      </c>
      <c r="E19" s="5">
        <v>1.07</v>
      </c>
      <c r="F19" s="5">
        <v>4.8099999999999996</v>
      </c>
      <c r="G19" s="5">
        <v>4.3</v>
      </c>
      <c r="H19" s="5">
        <v>3.36</v>
      </c>
      <c r="J19" s="5" t="s">
        <v>300</v>
      </c>
      <c r="K19" s="11">
        <f>+ROUND(LN(B19/B20),6)</f>
        <v>2.6700000000000001E-3</v>
      </c>
      <c r="L19" s="11">
        <f>+ROUND(LN(C19/C20),6)</f>
        <v>7.7390000000000002E-3</v>
      </c>
      <c r="M19" s="11">
        <f>+ROUND(LN(D19/D20),6)</f>
        <v>3.8679999999999999E-3</v>
      </c>
      <c r="N19" s="11">
        <f>+ROUND(LN(E19/E20),6)</f>
        <v>9.3900000000000008E-3</v>
      </c>
      <c r="O19" s="11">
        <f>+ROUND(LN(F19/F20),6)</f>
        <v>-4.1489999999999999E-3</v>
      </c>
      <c r="P19" s="11">
        <f>+ROUND(LN(G19/G20),6)</f>
        <v>1.6413000000000001E-2</v>
      </c>
      <c r="Q19" s="11">
        <f>+ROUND(LN(H19/H20),6)</f>
        <v>5.9699999999999996E-3</v>
      </c>
      <c r="R19" s="3"/>
      <c r="T19" s="5" t="s">
        <v>18</v>
      </c>
      <c r="U19" s="15">
        <f>+ROUND(B$3*EXP(K19),6)</f>
        <v>7.6203190000000003</v>
      </c>
      <c r="V19" s="15">
        <f>+ROUND(C$3*EXP(L19),6)</f>
        <v>9.4226399999999995</v>
      </c>
      <c r="W19" s="15">
        <f>+ROUND(D$3*EXP(M19),6)</f>
        <v>2.780735</v>
      </c>
      <c r="X19" s="15">
        <f>+ROUND(E$3*EXP(N19),6)</f>
        <v>1.160849</v>
      </c>
      <c r="Y19" s="15">
        <f>+ROUND(F$3*EXP(O19),6)</f>
        <v>4.9593809999999996</v>
      </c>
      <c r="Z19" s="15">
        <f>+ROUND(G$3*EXP(P19),6)</f>
        <v>4.4016549999999999</v>
      </c>
      <c r="AA19" s="15">
        <f>+ROUND(H$3*EXP(Q19),6)</f>
        <v>3.4404780000000001</v>
      </c>
      <c r="AB19" s="1">
        <v>17</v>
      </c>
      <c r="AC19" s="5" t="s">
        <v>18</v>
      </c>
      <c r="AD19" s="16">
        <f>+ROUND(Pozisyon!$U$4*('Data - Simülasyon- P&amp;L'!U19-'Data - Simülasyon- P&amp;L'!B$3),6)</f>
        <v>2925.9360000000001</v>
      </c>
      <c r="AE19" s="16">
        <f>+ROUND(Pozisyon!$U$5*('Data - Simülasyon- P&amp;L'!V19-'Data - Simülasyon- P&amp;L'!C$3),6)</f>
        <v>1816</v>
      </c>
      <c r="AF19" s="16">
        <f>+ROUND(Pozisyon!$U$6*('Data - Simülasyon- P&amp;L'!W19-'Data - Simülasyon- P&amp;L'!D$3),6)</f>
        <v>201.28125</v>
      </c>
      <c r="AG19" s="16">
        <f>+ROUND(Pozisyon!$U$7*('Data - Simülasyon- P&amp;L'!X19-'Data - Simülasyon- P&amp;L'!E$3),6)</f>
        <v>3829.6970000000001</v>
      </c>
      <c r="AH19" s="16">
        <f>+ROUND(Pozisyon!$U$8*('Data - Simülasyon- P&amp;L'!Y19-'Data - Simülasyon- P&amp;L'!F$3),6)</f>
        <v>-4412.4660000000003</v>
      </c>
      <c r="AI19" s="16">
        <f>+ROUND(Pozisyon!$U$9*('Data - Simülasyon- P&amp;L'!Z19-'Data - Simülasyon- P&amp;L'!G$3),6)</f>
        <v>21568.154999999999</v>
      </c>
      <c r="AJ19" s="16">
        <f>+ROUND(Pozisyon!$U$10*('Data - Simülasyon- P&amp;L'!AA19-'Data - Simülasyon- P&amp;L'!H$3),6)</f>
        <v>7187.7780000000002</v>
      </c>
      <c r="AK19" s="16">
        <f>+SUM(AD19:AJ19)</f>
        <v>33116.381249999999</v>
      </c>
      <c r="AL19" s="16">
        <f>+SMALL($AK$3:$AK$254,AB19)</f>
        <v>-123627.35924999999</v>
      </c>
    </row>
    <row r="20" spans="1:38" ht="15" thickBot="1" x14ac:dyDescent="0.35">
      <c r="A20" s="5" t="s">
        <v>301</v>
      </c>
      <c r="B20" s="6">
        <v>7.48</v>
      </c>
      <c r="C20" s="5">
        <v>9.01</v>
      </c>
      <c r="D20" s="6">
        <v>2.58</v>
      </c>
      <c r="E20" s="5">
        <v>1.06</v>
      </c>
      <c r="F20" s="5">
        <v>4.83</v>
      </c>
      <c r="G20" s="5">
        <v>4.2300000000000004</v>
      </c>
      <c r="H20" s="5">
        <v>3.34</v>
      </c>
      <c r="J20" s="5" t="s">
        <v>301</v>
      </c>
      <c r="K20" s="11">
        <f>+ROUND(LN(B20/B21),6)</f>
        <v>-7.9889999999999996E-3</v>
      </c>
      <c r="L20" s="11">
        <f>+ROUND(LN(C20/C21),6)</f>
        <v>-3.3240000000000001E-3</v>
      </c>
      <c r="M20" s="11">
        <f>+ROUND(LN(D20/D21),6)</f>
        <v>-1.5384999999999999E-2</v>
      </c>
      <c r="N20" s="11">
        <f>+ROUND(LN(E20/E21),6)</f>
        <v>-1.8692E-2</v>
      </c>
      <c r="O20" s="11">
        <f>+ROUND(LN(F20/F21),6)</f>
        <v>-2.068E-3</v>
      </c>
      <c r="P20" s="11">
        <f>+ROUND(LN(G20/G21),6)</f>
        <v>-1.1750999999999999E-2</v>
      </c>
      <c r="Q20" s="11">
        <f>+ROUND(LN(H20/H21),6)</f>
        <v>-8.9420000000000003E-3</v>
      </c>
      <c r="R20" s="3"/>
      <c r="T20" s="5" t="s">
        <v>19</v>
      </c>
      <c r="U20" s="15">
        <f>+ROUND(B$3*EXP(K20),6)</f>
        <v>7.5395250000000003</v>
      </c>
      <c r="V20" s="15">
        <f>+ROUND(C$3*EXP(L20),6)</f>
        <v>9.3189720000000005</v>
      </c>
      <c r="W20" s="15">
        <f>+ROUND(D$3*EXP(M20),6)</f>
        <v>2.7277100000000001</v>
      </c>
      <c r="X20" s="15">
        <f>+ROUND(E$3*EXP(N20),6)</f>
        <v>1.1287039999999999</v>
      </c>
      <c r="Y20" s="15">
        <f>+ROUND(F$3*EXP(O20),6)</f>
        <v>4.9697120000000004</v>
      </c>
      <c r="Z20" s="15">
        <f>+ROUND(G$3*EXP(P20),6)</f>
        <v>4.2794160000000003</v>
      </c>
      <c r="AA20" s="15">
        <f>+ROUND(H$3*EXP(Q20),6)</f>
        <v>3.3895550000000001</v>
      </c>
      <c r="AB20" s="1">
        <v>18</v>
      </c>
      <c r="AC20" s="5" t="s">
        <v>19</v>
      </c>
      <c r="AD20" s="16">
        <f>+ROUND(Pozisyon!$U$4*('Data - Simülasyon- P&amp;L'!U20-'Data - Simülasyon- P&amp;L'!B$3),6)</f>
        <v>-8708.4</v>
      </c>
      <c r="AE20" s="16">
        <f>+ROUND(Pozisyon!$U$5*('Data - Simülasyon- P&amp;L'!V20-'Data - Simülasyon- P&amp;L'!C$3),6)</f>
        <v>-775.7</v>
      </c>
      <c r="AF20" s="16">
        <f>+ROUND(Pozisyon!$U$6*('Data - Simülasyon- P&amp;L'!W20-'Data - Simülasyon- P&amp;L'!D$3),6)</f>
        <v>-792.9375</v>
      </c>
      <c r="AG20" s="16">
        <f>+ROUND(Pozisyon!$U$7*('Data - Simülasyon- P&amp;L'!X20-'Data - Simülasyon- P&amp;L'!E$3),6)</f>
        <v>-7517.4880000000003</v>
      </c>
      <c r="AH20" s="16">
        <f>+ROUND(Pozisyon!$U$8*('Data - Simülasyon- P&amp;L'!Y20-'Data - Simülasyon- P&amp;L'!F$3),6)</f>
        <v>-2201.6320000000001</v>
      </c>
      <c r="AI20" s="16">
        <f>+ROUND(Pozisyon!$U$9*('Data - Simülasyon- P&amp;L'!Z20-'Data - Simülasyon- P&amp;L'!G$3),6)</f>
        <v>-15225.784</v>
      </c>
      <c r="AJ20" s="16">
        <f>+ROUND(Pozisyon!$U$10*('Data - Simülasyon- P&amp;L'!AA20-'Data - Simülasyon- P&amp;L'!H$3),6)</f>
        <v>-10686.195</v>
      </c>
      <c r="AK20" s="16">
        <f>+SUM(AD20:AJ20)</f>
        <v>-45908.136500000001</v>
      </c>
      <c r="AL20" s="16">
        <f>+SMALL($AK$3:$AK$254,AB20)</f>
        <v>-123225.96899999998</v>
      </c>
    </row>
    <row r="21" spans="1:38" ht="15" thickBot="1" x14ac:dyDescent="0.35">
      <c r="A21" s="5" t="s">
        <v>302</v>
      </c>
      <c r="B21" s="6">
        <v>7.54</v>
      </c>
      <c r="C21" s="5">
        <v>9.0399999999999991</v>
      </c>
      <c r="D21" s="6">
        <v>2.62</v>
      </c>
      <c r="E21" s="5">
        <v>1.08</v>
      </c>
      <c r="F21" s="5">
        <v>4.84</v>
      </c>
      <c r="G21" s="5">
        <v>4.28</v>
      </c>
      <c r="H21" s="5">
        <v>3.37</v>
      </c>
      <c r="J21" s="5" t="s">
        <v>302</v>
      </c>
      <c r="K21" s="11">
        <f>+ROUND(LN(B21/B22),6)</f>
        <v>1.0666999999999999E-2</v>
      </c>
      <c r="L21" s="11">
        <f>+ROUND(LN(C21/C22),6)</f>
        <v>1.1124E-2</v>
      </c>
      <c r="M21" s="11">
        <f>+ROUND(LN(D21/D22),6)</f>
        <v>-3.81E-3</v>
      </c>
      <c r="N21" s="11">
        <f>+ROUND(LN(E21/E22),6)</f>
        <v>0</v>
      </c>
      <c r="O21" s="11">
        <f>+ROUND(LN(F21/F22),6)</f>
        <v>6.2179999999999996E-3</v>
      </c>
      <c r="P21" s="11">
        <f>+ROUND(LN(G21/G22),6)</f>
        <v>4.6839999999999998E-3</v>
      </c>
      <c r="Q21" s="11">
        <f>+ROUND(LN(H21/H22),6)</f>
        <v>3.3186E-2</v>
      </c>
      <c r="R21" s="3"/>
      <c r="T21" s="5" t="s">
        <v>20</v>
      </c>
      <c r="U21" s="15">
        <f>+ROUND(B$3*EXP(K21),6)</f>
        <v>7.6815030000000002</v>
      </c>
      <c r="V21" s="15">
        <f>+ROUND(C$3*EXP(L21),6)</f>
        <v>9.4545899999999996</v>
      </c>
      <c r="W21" s="15">
        <f>+ROUND(D$3*EXP(M21),6)</f>
        <v>2.7594660000000002</v>
      </c>
      <c r="X21" s="15">
        <f>+ROUND(E$3*EXP(N21),6)</f>
        <v>1.1499999999999999</v>
      </c>
      <c r="Y21" s="15">
        <f>+ROUND(F$3*EXP(O21),6)</f>
        <v>5.0110619999999999</v>
      </c>
      <c r="Z21" s="15">
        <f>+ROUND(G$3*EXP(P21),6)</f>
        <v>4.3503290000000003</v>
      </c>
      <c r="AA21" s="15">
        <f>+ROUND(H$3*EXP(Q21),6)</f>
        <v>3.5354000000000001</v>
      </c>
      <c r="AB21" s="1">
        <v>19</v>
      </c>
      <c r="AC21" s="5" t="s">
        <v>20</v>
      </c>
      <c r="AD21" s="16">
        <f>+ROUND(Pozisyon!$U$4*('Data - Simülasyon- P&amp;L'!U21-'Data - Simülasyon- P&amp;L'!B$3),6)</f>
        <v>11736.432000000001</v>
      </c>
      <c r="AE21" s="16">
        <f>+ROUND(Pozisyon!$U$5*('Data - Simülasyon- P&amp;L'!V21-'Data - Simülasyon- P&amp;L'!C$3),6)</f>
        <v>2614.75</v>
      </c>
      <c r="AF21" s="16">
        <f>+ROUND(Pozisyon!$U$6*('Data - Simülasyon- P&amp;L'!W21-'Data - Simülasyon- P&amp;L'!D$3),6)</f>
        <v>-197.51249999999999</v>
      </c>
      <c r="AG21" s="16">
        <f>+ROUND(Pozisyon!$U$7*('Data - Simülasyon- P&amp;L'!X21-'Data - Simülasyon- P&amp;L'!E$3),6)</f>
        <v>0</v>
      </c>
      <c r="AH21" s="16">
        <f>+ROUND(Pozisyon!$U$8*('Data - Simülasyon- P&amp;L'!Y21-'Data - Simülasyon- P&amp;L'!F$3),6)</f>
        <v>6647.268</v>
      </c>
      <c r="AI21" s="16">
        <f>+ROUND(Pozisyon!$U$9*('Data - Simülasyon- P&amp;L'!Z21-'Data - Simülasyon- P&amp;L'!G$3),6)</f>
        <v>6119.0290000000005</v>
      </c>
      <c r="AJ21" s="16">
        <f>+ROUND(Pozisyon!$U$10*('Data - Simülasyon- P&amp;L'!AA21-'Data - Simülasyon- P&amp;L'!H$3),6)</f>
        <v>40505.4</v>
      </c>
      <c r="AK21" s="16">
        <f>+SUM(AD21:AJ21)</f>
        <v>67425.366500000004</v>
      </c>
      <c r="AL21" s="16">
        <f>+SMALL($AK$3:$AK$254,AB21)</f>
        <v>-123163.982</v>
      </c>
    </row>
    <row r="22" spans="1:38" ht="15" thickBot="1" x14ac:dyDescent="0.35">
      <c r="A22" s="5" t="s">
        <v>303</v>
      </c>
      <c r="B22" s="6">
        <v>7.46</v>
      </c>
      <c r="C22" s="5">
        <v>8.94</v>
      </c>
      <c r="D22" s="6">
        <v>2.63</v>
      </c>
      <c r="E22" s="5">
        <v>1.08</v>
      </c>
      <c r="F22" s="5">
        <v>4.8099999999999996</v>
      </c>
      <c r="G22" s="5">
        <v>4.26</v>
      </c>
      <c r="H22" s="5">
        <v>3.26</v>
      </c>
      <c r="J22" s="5" t="s">
        <v>303</v>
      </c>
      <c r="K22" s="11">
        <f>+ROUND(LN(B22/B23),6)</f>
        <v>1.3495E-2</v>
      </c>
      <c r="L22" s="11">
        <f>+ROUND(LN(C22/C23),6)</f>
        <v>1.8058999999999999E-2</v>
      </c>
      <c r="M22" s="11">
        <f>+ROUND(LN(D22/D23),6)</f>
        <v>9.1514999999999999E-2</v>
      </c>
      <c r="N22" s="11">
        <f>+ROUND(LN(E22/E23),6)</f>
        <v>5.7158E-2</v>
      </c>
      <c r="O22" s="11">
        <f>+ROUND(LN(F22/F23),6)</f>
        <v>3.3829999999999999E-2</v>
      </c>
      <c r="P22" s="11">
        <f>+ROUND(LN(G22/G23),6)</f>
        <v>1.6567999999999999E-2</v>
      </c>
      <c r="Q22" s="11">
        <f>+ROUND(LN(H22/H23),6)</f>
        <v>3.7504000000000003E-2</v>
      </c>
      <c r="R22" s="3"/>
      <c r="T22" s="5" t="s">
        <v>21</v>
      </c>
      <c r="U22" s="15">
        <f>+ROUND(B$3*EXP(K22),6)</f>
        <v>7.7032569999999998</v>
      </c>
      <c r="V22" s="15">
        <f>+ROUND(C$3*EXP(L22),6)</f>
        <v>9.5203860000000002</v>
      </c>
      <c r="W22" s="15">
        <f>+ROUND(D$3*EXP(M22),6)</f>
        <v>3.0354580000000002</v>
      </c>
      <c r="X22" s="15">
        <f>+ROUND(E$3*EXP(N22),6)</f>
        <v>1.2176469999999999</v>
      </c>
      <c r="Y22" s="15">
        <f>+ROUND(F$3*EXP(O22),6)</f>
        <v>5.1513559999999998</v>
      </c>
      <c r="Z22" s="15">
        <f>+ROUND(G$3*EXP(P22),6)</f>
        <v>4.4023370000000002</v>
      </c>
      <c r="AA22" s="15">
        <f>+ROUND(H$3*EXP(Q22),6)</f>
        <v>3.5506989999999998</v>
      </c>
      <c r="AB22" s="1">
        <v>20</v>
      </c>
      <c r="AC22" s="5" t="s">
        <v>21</v>
      </c>
      <c r="AD22" s="16">
        <f>+ROUND(Pozisyon!$U$4*('Data - Simülasyon- P&amp;L'!U22-'Data - Simülasyon- P&amp;L'!B$3),6)</f>
        <v>14869.008</v>
      </c>
      <c r="AE22" s="16">
        <f>+ROUND(Pozisyon!$U$5*('Data - Simülasyon- P&amp;L'!V22-'Data - Simülasyon- P&amp;L'!C$3),6)</f>
        <v>4259.6499999999996</v>
      </c>
      <c r="AF22" s="16">
        <f>+ROUND(Pozisyon!$U$6*('Data - Simülasyon- P&amp;L'!W22-'Data - Simülasyon- P&amp;L'!D$3),6)</f>
        <v>4977.3374999999996</v>
      </c>
      <c r="AG22" s="16">
        <f>+ROUND(Pozisyon!$U$7*('Data - Simülasyon- P&amp;L'!X22-'Data - Simülasyon- P&amp;L'!E$3),6)</f>
        <v>23879.391</v>
      </c>
      <c r="AH22" s="16">
        <f>+ROUND(Pozisyon!$U$8*('Data - Simülasyon- P&amp;L'!Y22-'Data - Simülasyon- P&amp;L'!F$3),6)</f>
        <v>36670.184000000001</v>
      </c>
      <c r="AI22" s="16">
        <f>+ROUND(Pozisyon!$U$9*('Data - Simülasyon- P&amp;L'!Z22-'Data - Simülasyon- P&amp;L'!G$3),6)</f>
        <v>21773.437000000002</v>
      </c>
      <c r="AJ22" s="16">
        <f>+ROUND(Pozisyon!$U$10*('Data - Simülasyon- P&amp;L'!AA22-'Data - Simülasyon- P&amp;L'!H$3),6)</f>
        <v>45875.349000000002</v>
      </c>
      <c r="AK22" s="16">
        <f>+SUM(AD22:AJ22)</f>
        <v>152304.35649999999</v>
      </c>
      <c r="AL22" s="16">
        <f>+SMALL($AK$3:$AK$254,AB22)</f>
        <v>-112140.09125</v>
      </c>
    </row>
    <row r="23" spans="1:38" ht="15" thickBot="1" x14ac:dyDescent="0.35">
      <c r="A23" s="5" t="s">
        <v>304</v>
      </c>
      <c r="B23" s="6">
        <v>7.36</v>
      </c>
      <c r="C23" s="5">
        <v>8.7799999999999994</v>
      </c>
      <c r="D23" s="6">
        <v>2.4</v>
      </c>
      <c r="E23" s="5">
        <v>1.02</v>
      </c>
      <c r="F23" s="5">
        <v>4.6500000000000004</v>
      </c>
      <c r="G23" s="5">
        <v>4.1900000000000004</v>
      </c>
      <c r="H23" s="5">
        <v>3.14</v>
      </c>
      <c r="J23" s="5" t="s">
        <v>304</v>
      </c>
      <c r="K23" s="11">
        <f>+ROUND(LN(B23/B24),6)</f>
        <v>0</v>
      </c>
      <c r="L23" s="11">
        <f>+ROUND(LN(C23/C24),6)</f>
        <v>0</v>
      </c>
      <c r="M23" s="11">
        <f>+ROUND(LN(D23/D24),6)</f>
        <v>0</v>
      </c>
      <c r="N23" s="11">
        <f>+ROUND(LN(E23/E24),6)</f>
        <v>0</v>
      </c>
      <c r="O23" s="11">
        <f>+ROUND(LN(F23/F24),6)</f>
        <v>0</v>
      </c>
      <c r="P23" s="11">
        <f>+ROUND(LN(G23/G24),6)</f>
        <v>0</v>
      </c>
      <c r="Q23" s="11">
        <f>+ROUND(LN(H23/H24),6)</f>
        <v>0</v>
      </c>
      <c r="R23" s="3"/>
      <c r="T23" s="5" t="s">
        <v>22</v>
      </c>
      <c r="U23" s="15">
        <f>+ROUND(B$3*EXP(K23),6)</f>
        <v>7.6</v>
      </c>
      <c r="V23" s="15">
        <f>+ROUND(C$3*EXP(L23),6)</f>
        <v>9.35</v>
      </c>
      <c r="W23" s="15">
        <f>+ROUND(D$3*EXP(M23),6)</f>
        <v>2.77</v>
      </c>
      <c r="X23" s="15">
        <f>+ROUND(E$3*EXP(N23),6)</f>
        <v>1.1499999999999999</v>
      </c>
      <c r="Y23" s="15">
        <f>+ROUND(F$3*EXP(O23),6)</f>
        <v>4.9800000000000004</v>
      </c>
      <c r="Z23" s="15">
        <f>+ROUND(G$3*EXP(P23),6)</f>
        <v>4.33</v>
      </c>
      <c r="AA23" s="15">
        <f>+ROUND(H$3*EXP(Q23),6)</f>
        <v>3.42</v>
      </c>
      <c r="AB23" s="1">
        <v>21</v>
      </c>
      <c r="AC23" s="5" t="s">
        <v>22</v>
      </c>
      <c r="AD23" s="16">
        <f>+ROUND(Pozisyon!$U$4*('Data - Simülasyon- P&amp;L'!U23-'Data - Simülasyon- P&amp;L'!B$3),6)</f>
        <v>0</v>
      </c>
      <c r="AE23" s="16">
        <f>+ROUND(Pozisyon!$U$5*('Data - Simülasyon- P&amp;L'!V23-'Data - Simülasyon- P&amp;L'!C$3),6)</f>
        <v>0</v>
      </c>
      <c r="AF23" s="16">
        <f>+ROUND(Pozisyon!$U$6*('Data - Simülasyon- P&amp;L'!W23-'Data - Simülasyon- P&amp;L'!D$3),6)</f>
        <v>0</v>
      </c>
      <c r="AG23" s="16">
        <f>+ROUND(Pozisyon!$U$7*('Data - Simülasyon- P&amp;L'!X23-'Data - Simülasyon- P&amp;L'!E$3),6)</f>
        <v>0</v>
      </c>
      <c r="AH23" s="16">
        <f>+ROUND(Pozisyon!$U$8*('Data - Simülasyon- P&amp;L'!Y23-'Data - Simülasyon- P&amp;L'!F$3),6)</f>
        <v>0</v>
      </c>
      <c r="AI23" s="16">
        <f>+ROUND(Pozisyon!$U$9*('Data - Simülasyon- P&amp;L'!Z23-'Data - Simülasyon- P&amp;L'!G$3),6)</f>
        <v>0</v>
      </c>
      <c r="AJ23" s="16">
        <f>+ROUND(Pozisyon!$U$10*('Data - Simülasyon- P&amp;L'!AA23-'Data - Simülasyon- P&amp;L'!H$3),6)</f>
        <v>0</v>
      </c>
      <c r="AK23" s="16">
        <f>+SUM(AD23:AJ23)</f>
        <v>0</v>
      </c>
      <c r="AL23" s="16">
        <f>+SMALL($AK$3:$AK$254,AB23)</f>
        <v>-108358.33900000001</v>
      </c>
    </row>
    <row r="24" spans="1:38" ht="15" thickBot="1" x14ac:dyDescent="0.35">
      <c r="A24" s="5" t="s">
        <v>305</v>
      </c>
      <c r="B24" s="6">
        <v>7.36</v>
      </c>
      <c r="C24" s="5">
        <v>8.7799999999999994</v>
      </c>
      <c r="D24" s="6">
        <v>2.4</v>
      </c>
      <c r="E24" s="5">
        <v>1.02</v>
      </c>
      <c r="F24" s="5">
        <v>4.6500000000000004</v>
      </c>
      <c r="G24" s="5">
        <v>4.1900000000000004</v>
      </c>
      <c r="H24" s="5">
        <v>3.14</v>
      </c>
      <c r="J24" s="5" t="s">
        <v>305</v>
      </c>
      <c r="K24" s="11">
        <f>+ROUND(LN(B24/B25),6)</f>
        <v>2.1978999999999999E-2</v>
      </c>
      <c r="L24" s="11">
        <f>+ROUND(LN(C24/C25),6)</f>
        <v>1.8391000000000001E-2</v>
      </c>
      <c r="M24" s="11">
        <f>+ROUND(LN(D24/D25),6)</f>
        <v>-4.0821999999999997E-2</v>
      </c>
      <c r="N24" s="11">
        <f>+ROUND(LN(E24/E25),6)</f>
        <v>0</v>
      </c>
      <c r="O24" s="11">
        <f>+ROUND(LN(F24/F25),6)</f>
        <v>1.5167999999999999E-2</v>
      </c>
      <c r="P24" s="11">
        <f>+ROUND(LN(G24/G25),6)</f>
        <v>1.9278E-2</v>
      </c>
      <c r="Q24" s="11">
        <f>+ROUND(LN(H24/H25),6)</f>
        <v>2.2544999999999999E-2</v>
      </c>
      <c r="R24" s="3"/>
      <c r="T24" s="5" t="s">
        <v>23</v>
      </c>
      <c r="U24" s="15">
        <f>+ROUND(B$3*EXP(K24),6)</f>
        <v>7.7688899999999999</v>
      </c>
      <c r="V24" s="15">
        <f>+ROUND(C$3*EXP(L24),6)</f>
        <v>9.5235470000000007</v>
      </c>
      <c r="W24" s="15">
        <f>+ROUND(D$3*EXP(M24),6)</f>
        <v>2.6591999999999998</v>
      </c>
      <c r="X24" s="15">
        <f>+ROUND(E$3*EXP(N24),6)</f>
        <v>1.1499999999999999</v>
      </c>
      <c r="Y24" s="15">
        <f>+ROUND(F$3*EXP(O24),6)</f>
        <v>5.0561119999999997</v>
      </c>
      <c r="Z24" s="15">
        <f>+ROUND(G$3*EXP(P24),6)</f>
        <v>4.4142840000000003</v>
      </c>
      <c r="AA24" s="15">
        <f>+ROUND(H$3*EXP(Q24),6)</f>
        <v>3.4979800000000001</v>
      </c>
      <c r="AB24" s="1">
        <v>22</v>
      </c>
      <c r="AC24" s="5" t="s">
        <v>23</v>
      </c>
      <c r="AD24" s="16">
        <f>+ROUND(Pozisyon!$U$4*('Data - Simülasyon- P&amp;L'!U24-'Data - Simülasyon- P&amp;L'!B$3),6)</f>
        <v>24320.16</v>
      </c>
      <c r="AE24" s="16">
        <f>+ROUND(Pozisyon!$U$5*('Data - Simülasyon- P&amp;L'!V24-'Data - Simülasyon- P&amp;L'!C$3),6)</f>
        <v>4338.6750000000002</v>
      </c>
      <c r="AF24" s="16">
        <f>+ROUND(Pozisyon!$U$6*('Data - Simülasyon- P&amp;L'!W24-'Data - Simülasyon- P&amp;L'!D$3),6)</f>
        <v>-2077.5</v>
      </c>
      <c r="AG24" s="16">
        <f>+ROUND(Pozisyon!$U$7*('Data - Simülasyon- P&amp;L'!X24-'Data - Simülasyon- P&amp;L'!E$3),6)</f>
        <v>0</v>
      </c>
      <c r="AH24" s="16">
        <f>+ROUND(Pozisyon!$U$8*('Data - Simülasyon- P&amp;L'!Y24-'Data - Simülasyon- P&amp;L'!F$3),6)</f>
        <v>16287.968000000001</v>
      </c>
      <c r="AI24" s="16">
        <f>+ROUND(Pozisyon!$U$9*('Data - Simülasyon- P&amp;L'!Z24-'Data - Simülasyon- P&amp;L'!G$3),6)</f>
        <v>25369.484</v>
      </c>
      <c r="AJ24" s="16">
        <f>+ROUND(Pozisyon!$U$10*('Data - Simülasyon- P&amp;L'!AA24-'Data - Simülasyon- P&amp;L'!H$3),6)</f>
        <v>27370.98</v>
      </c>
      <c r="AK24" s="16">
        <f>+SUM(AD24:AJ24)</f>
        <v>95609.766999999993</v>
      </c>
      <c r="AL24" s="16">
        <f>+SMALL($AK$3:$AK$254,AB24)</f>
        <v>-98138.011750000005</v>
      </c>
    </row>
    <row r="25" spans="1:38" ht="15" thickBot="1" x14ac:dyDescent="0.35">
      <c r="A25" s="5" t="s">
        <v>306</v>
      </c>
      <c r="B25" s="6">
        <v>7.2</v>
      </c>
      <c r="C25" s="5">
        <v>8.6199999999999992</v>
      </c>
      <c r="D25" s="6">
        <v>2.5</v>
      </c>
      <c r="E25" s="5">
        <v>1.02</v>
      </c>
      <c r="F25" s="5">
        <v>4.58</v>
      </c>
      <c r="G25" s="5">
        <v>4.1100000000000003</v>
      </c>
      <c r="H25" s="5">
        <v>3.07</v>
      </c>
      <c r="J25" s="5" t="s">
        <v>306</v>
      </c>
      <c r="K25" s="11">
        <f>+ROUND(LN(B25/B26),6)</f>
        <v>-1.1050000000000001E-2</v>
      </c>
      <c r="L25" s="11">
        <f>+ROUND(LN(C25/C26),6)</f>
        <v>-2.1801999999999998E-2</v>
      </c>
      <c r="M25" s="11">
        <f>+ROUND(LN(D25/D26),6)</f>
        <v>-3.1498999999999999E-2</v>
      </c>
      <c r="N25" s="11">
        <f>+ROUND(LN(E25/E26),6)</f>
        <v>-1.9418000000000001E-2</v>
      </c>
      <c r="O25" s="11">
        <f>+ROUND(LN(F25/F26),6)</f>
        <v>-4.6917E-2</v>
      </c>
      <c r="P25" s="11">
        <f>+ROUND(LN(G25/G26),6)</f>
        <v>-1.9278E-2</v>
      </c>
      <c r="Q25" s="11">
        <f>+ROUND(LN(H25/H26),6)</f>
        <v>-1.9355000000000001E-2</v>
      </c>
      <c r="R25" s="3"/>
      <c r="T25" s="5" t="s">
        <v>24</v>
      </c>
      <c r="U25" s="15">
        <f>+ROUND(B$3*EXP(K25),6)</f>
        <v>7.5164819999999999</v>
      </c>
      <c r="V25" s="15">
        <f>+ROUND(C$3*EXP(L25),6)</f>
        <v>9.1483570000000007</v>
      </c>
      <c r="W25" s="15">
        <f>+ROUND(D$3*EXP(M25),6)</f>
        <v>2.6841080000000002</v>
      </c>
      <c r="X25" s="15">
        <f>+ROUND(E$3*EXP(N25),6)</f>
        <v>1.127885</v>
      </c>
      <c r="Y25" s="15">
        <f>+ROUND(F$3*EXP(O25),6)</f>
        <v>4.7517500000000004</v>
      </c>
      <c r="Z25" s="15">
        <f>+ROUND(G$3*EXP(P25),6)</f>
        <v>4.2473260000000002</v>
      </c>
      <c r="AA25" s="15">
        <f>+ROUND(H$3*EXP(Q25),6)</f>
        <v>3.3544420000000001</v>
      </c>
      <c r="AB25" s="1">
        <v>23</v>
      </c>
      <c r="AC25" s="5" t="s">
        <v>24</v>
      </c>
      <c r="AD25" s="16">
        <f>+ROUND(Pozisyon!$U$4*('Data - Simülasyon- P&amp;L'!U25-'Data - Simülasyon- P&amp;L'!B$3),6)</f>
        <v>-12026.592000000001</v>
      </c>
      <c r="AE25" s="16">
        <f>+ROUND(Pozisyon!$U$5*('Data - Simülasyon- P&amp;L'!V25-'Data - Simülasyon- P&amp;L'!C$3),6)</f>
        <v>-5041.0749999999998</v>
      </c>
      <c r="AF25" s="16">
        <f>+ROUND(Pozisyon!$U$6*('Data - Simülasyon- P&amp;L'!W25-'Data - Simülasyon- P&amp;L'!D$3),6)</f>
        <v>-1610.4749999999999</v>
      </c>
      <c r="AG25" s="16">
        <f>+ROUND(Pozisyon!$U$7*('Data - Simülasyon- P&amp;L'!X25-'Data - Simülasyon- P&amp;L'!E$3),6)</f>
        <v>-7806.5950000000003</v>
      </c>
      <c r="AH25" s="16">
        <f>+ROUND(Pozisyon!$U$8*('Data - Simülasyon- P&amp;L'!Y25-'Data - Simülasyon- P&amp;L'!F$3),6)</f>
        <v>-48845.5</v>
      </c>
      <c r="AI25" s="16">
        <f>+ROUND(Pozisyon!$U$9*('Data - Simülasyon- P&amp;L'!Z25-'Data - Simülasyon- P&amp;L'!G$3),6)</f>
        <v>-24884.874</v>
      </c>
      <c r="AJ25" s="16">
        <f>+ROUND(Pozisyon!$U$10*('Data - Simülasyon- P&amp;L'!AA25-'Data - Simülasyon- P&amp;L'!H$3),6)</f>
        <v>-23010.858</v>
      </c>
      <c r="AK25" s="16">
        <f>+SUM(AD25:AJ25)</f>
        <v>-123225.96899999998</v>
      </c>
      <c r="AL25" s="16">
        <f>+SMALL($AK$3:$AK$254,AB25)</f>
        <v>-96340.292499999996</v>
      </c>
    </row>
    <row r="26" spans="1:38" ht="15" thickBot="1" x14ac:dyDescent="0.35">
      <c r="A26" s="5" t="s">
        <v>307</v>
      </c>
      <c r="B26" s="6">
        <v>7.28</v>
      </c>
      <c r="C26" s="5">
        <v>8.81</v>
      </c>
      <c r="D26" s="6">
        <v>2.58</v>
      </c>
      <c r="E26" s="5">
        <v>1.04</v>
      </c>
      <c r="F26" s="5">
        <v>4.8</v>
      </c>
      <c r="G26" s="5">
        <v>4.1900000000000004</v>
      </c>
      <c r="H26" s="5">
        <v>3.13</v>
      </c>
      <c r="J26" s="5" t="s">
        <v>307</v>
      </c>
      <c r="K26" s="11">
        <f>+ROUND(LN(B26/B27),6)</f>
        <v>-1.3643000000000001E-2</v>
      </c>
      <c r="L26" s="11">
        <f>+ROUND(LN(C26/C27),6)</f>
        <v>-2.0225E-2</v>
      </c>
      <c r="M26" s="11">
        <f>+ROUND(LN(D26/D27),6)</f>
        <v>-3.4289E-2</v>
      </c>
      <c r="N26" s="11">
        <f>+ROUND(LN(E26/E27),6)</f>
        <v>-2.8438000000000001E-2</v>
      </c>
      <c r="O26" s="11">
        <f>+ROUND(LN(F26/F27),6)</f>
        <v>-3.6814E-2</v>
      </c>
      <c r="P26" s="11">
        <f>+ROUND(LN(G26/G27),6)</f>
        <v>-1.4218E-2</v>
      </c>
      <c r="Q26" s="11">
        <f>+ROUND(LN(H26/H27),6)</f>
        <v>-1.8988000000000001E-2</v>
      </c>
      <c r="R26" s="3"/>
      <c r="T26" s="5" t="s">
        <v>25</v>
      </c>
      <c r="U26" s="15">
        <f>+ROUND(B$3*EXP(K26),6)</f>
        <v>7.4970169999999996</v>
      </c>
      <c r="V26" s="15">
        <f>+ROUND(C$3*EXP(L26),6)</f>
        <v>9.1627960000000002</v>
      </c>
      <c r="W26" s="15">
        <f>+ROUND(D$3*EXP(M26),6)</f>
        <v>2.6766290000000001</v>
      </c>
      <c r="X26" s="15">
        <f>+ROUND(E$3*EXP(N26),6)</f>
        <v>1.1177569999999999</v>
      </c>
      <c r="Y26" s="15">
        <f>+ROUND(F$3*EXP(O26),6)</f>
        <v>4.8</v>
      </c>
      <c r="Z26" s="15">
        <f>+ROUND(G$3*EXP(P26),6)</f>
        <v>4.268872</v>
      </c>
      <c r="AA26" s="15">
        <f>+ROUND(H$3*EXP(Q26),6)</f>
        <v>3.355674</v>
      </c>
      <c r="AB26" s="1">
        <v>24</v>
      </c>
      <c r="AC26" s="5" t="s">
        <v>25</v>
      </c>
      <c r="AD26" s="16">
        <f>+ROUND(Pozisyon!$U$4*('Data - Simülasyon- P&amp;L'!U26-'Data - Simülasyon- P&amp;L'!B$3),6)</f>
        <v>-14829.552</v>
      </c>
      <c r="AE26" s="16">
        <f>+ROUND(Pozisyon!$U$5*('Data - Simülasyon- P&amp;L'!V26-'Data - Simülasyon- P&amp;L'!C$3),6)</f>
        <v>-4680.1000000000004</v>
      </c>
      <c r="AF26" s="16">
        <f>+ROUND(Pozisyon!$U$6*('Data - Simülasyon- P&amp;L'!W26-'Data - Simülasyon- P&amp;L'!D$3),6)</f>
        <v>-1750.70625</v>
      </c>
      <c r="AG26" s="16">
        <f>+ROUND(Pozisyon!$U$7*('Data - Simülasyon- P&amp;L'!X26-'Data - Simülasyon- P&amp;L'!E$3),6)</f>
        <v>-11381.779</v>
      </c>
      <c r="AH26" s="16">
        <f>+ROUND(Pozisyon!$U$8*('Data - Simülasyon- P&amp;L'!Y26-'Data - Simülasyon- P&amp;L'!F$3),6)</f>
        <v>-38520</v>
      </c>
      <c r="AI26" s="16">
        <f>+ROUND(Pozisyon!$U$9*('Data - Simülasyon- P&amp;L'!Z26-'Data - Simülasyon- P&amp;L'!G$3),6)</f>
        <v>-18399.527999999998</v>
      </c>
      <c r="AJ26" s="16">
        <f>+ROUND(Pozisyon!$U$10*('Data - Simülasyon- P&amp;L'!AA26-'Data - Simülasyon- P&amp;L'!H$3),6)</f>
        <v>-22578.425999999999</v>
      </c>
      <c r="AK26" s="16">
        <f>+SUM(AD26:AJ26)</f>
        <v>-112140.09125</v>
      </c>
      <c r="AL26" s="16">
        <f>+SMALL($AK$3:$AK$254,AB26)</f>
        <v>-91066.445000000007</v>
      </c>
    </row>
    <row r="27" spans="1:38" ht="15" thickBot="1" x14ac:dyDescent="0.35">
      <c r="A27" s="5" t="s">
        <v>308</v>
      </c>
      <c r="B27" s="6">
        <v>7.38</v>
      </c>
      <c r="C27" s="5">
        <v>8.99</v>
      </c>
      <c r="D27" s="6">
        <v>2.67</v>
      </c>
      <c r="E27" s="5">
        <v>1.07</v>
      </c>
      <c r="F27" s="5">
        <v>4.9800000000000004</v>
      </c>
      <c r="G27" s="5">
        <v>4.25</v>
      </c>
      <c r="H27" s="5">
        <v>3.19</v>
      </c>
      <c r="J27" s="5" t="s">
        <v>308</v>
      </c>
      <c r="K27" s="11">
        <f>+ROUND(LN(B27/B28),6)</f>
        <v>-5.4050000000000001E-3</v>
      </c>
      <c r="L27" s="11">
        <f>+ROUND(LN(C27/C28),6)</f>
        <v>-9.9609999999999994E-3</v>
      </c>
      <c r="M27" s="11">
        <f>+ROUND(LN(D27/D28),6)</f>
        <v>-8.2631999999999997E-2</v>
      </c>
      <c r="N27" s="11">
        <f>+ROUND(LN(E27/E28),6)</f>
        <v>-9.3019999999999995E-3</v>
      </c>
      <c r="O27" s="11">
        <f>+ROUND(LN(F27/F28),6)</f>
        <v>-8.0000000000000002E-3</v>
      </c>
      <c r="P27" s="11">
        <f>+ROUND(LN(G27/G28),6)</f>
        <v>7.084E-3</v>
      </c>
      <c r="Q27" s="11">
        <f>+ROUND(LN(H27/H28),6)</f>
        <v>-2.1706E-2</v>
      </c>
      <c r="R27" s="3"/>
      <c r="T27" s="5" t="s">
        <v>26</v>
      </c>
      <c r="U27" s="15">
        <f>+ROUND(B$3*EXP(K27),6)</f>
        <v>7.5590330000000003</v>
      </c>
      <c r="V27" s="15">
        <f>+ROUND(C$3*EXP(L27),6)</f>
        <v>9.2573270000000001</v>
      </c>
      <c r="W27" s="15">
        <f>+ROUND(D$3*EXP(M27),6)</f>
        <v>2.5503110000000002</v>
      </c>
      <c r="X27" s="15">
        <f>+ROUND(E$3*EXP(N27),6)</f>
        <v>1.1393519999999999</v>
      </c>
      <c r="Y27" s="15">
        <f>+ROUND(F$3*EXP(O27),6)</f>
        <v>4.9403189999999997</v>
      </c>
      <c r="Z27" s="15">
        <f>+ROUND(G$3*EXP(P27),6)</f>
        <v>4.3607829999999996</v>
      </c>
      <c r="AA27" s="15">
        <f>+ROUND(H$3*EXP(Q27),6)</f>
        <v>3.346565</v>
      </c>
      <c r="AB27" s="1">
        <v>25</v>
      </c>
      <c r="AC27" s="5" t="s">
        <v>26</v>
      </c>
      <c r="AD27" s="16">
        <f>+ROUND(Pozisyon!$U$4*('Data - Simülasyon- P&amp;L'!U27-'Data - Simülasyon- P&amp;L'!B$3),6)</f>
        <v>-5899.2479999999996</v>
      </c>
      <c r="AE27" s="16">
        <f>+ROUND(Pozisyon!$U$5*('Data - Simülasyon- P&amp;L'!V27-'Data - Simülasyon- P&amp;L'!C$3),6)</f>
        <v>-2316.8249999999998</v>
      </c>
      <c r="AF27" s="16">
        <f>+ROUND(Pozisyon!$U$6*('Data - Simülasyon- P&amp;L'!W27-'Data - Simülasyon- P&amp;L'!D$3),6)</f>
        <v>-4119.1687499999998</v>
      </c>
      <c r="AG27" s="16">
        <f>+ROUND(Pozisyon!$U$7*('Data - Simülasyon- P&amp;L'!X27-'Data - Simülasyon- P&amp;L'!E$3),6)</f>
        <v>-3758.7440000000001</v>
      </c>
      <c r="AH27" s="16">
        <f>+ROUND(Pozisyon!$U$8*('Data - Simülasyon- P&amp;L'!Y27-'Data - Simülasyon- P&amp;L'!F$3),6)</f>
        <v>-8491.7340000000004</v>
      </c>
      <c r="AI27" s="16">
        <f>+ROUND(Pozisyon!$U$9*('Data - Simülasyon- P&amp;L'!Z27-'Data - Simülasyon- P&amp;L'!G$3),6)</f>
        <v>9265.6830000000009</v>
      </c>
      <c r="AJ27" s="16">
        <f>+ROUND(Pozisyon!$U$10*('Data - Simülasyon- P&amp;L'!AA27-'Data - Simülasyon- P&amp;L'!H$3),6)</f>
        <v>-25775.685000000001</v>
      </c>
      <c r="AK27" s="16">
        <f>+SUM(AD27:AJ27)</f>
        <v>-41095.721750000004</v>
      </c>
      <c r="AL27" s="16">
        <f>+SMALL($AK$3:$AK$254,AB27)</f>
        <v>-90457.18299999999</v>
      </c>
    </row>
    <row r="28" spans="1:38" ht="15" thickBot="1" x14ac:dyDescent="0.35">
      <c r="A28" s="5" t="s">
        <v>309</v>
      </c>
      <c r="B28" s="6">
        <v>7.42</v>
      </c>
      <c r="C28" s="5">
        <v>9.08</v>
      </c>
      <c r="D28" s="6">
        <v>2.9</v>
      </c>
      <c r="E28" s="5">
        <v>1.08</v>
      </c>
      <c r="F28" s="5">
        <v>5.0199999999999996</v>
      </c>
      <c r="G28" s="5">
        <v>4.22</v>
      </c>
      <c r="H28" s="5">
        <v>3.26</v>
      </c>
      <c r="J28" s="5" t="s">
        <v>309</v>
      </c>
      <c r="K28" s="11">
        <f>+ROUND(LN(B28/B29),6)</f>
        <v>1.3568999999999999E-2</v>
      </c>
      <c r="L28" s="11">
        <f>+ROUND(LN(C28/C29),6)</f>
        <v>1.3304E-2</v>
      </c>
      <c r="M28" s="11">
        <f>+ROUND(LN(D28/D29),6)</f>
        <v>-0.88119899999999995</v>
      </c>
      <c r="N28" s="11">
        <f>+ROUND(LN(E28/E29),6)</f>
        <v>9.3019999999999995E-3</v>
      </c>
      <c r="O28" s="11">
        <f>+ROUND(LN(F28/F29),6)</f>
        <v>-5.9579999999999998E-3</v>
      </c>
      <c r="P28" s="11">
        <f>+ROUND(LN(G28/G29),6)</f>
        <v>1.4319999999999999E-2</v>
      </c>
      <c r="Q28" s="11">
        <f>+ROUND(LN(H28/H29),6)</f>
        <v>6.1539999999999997E-3</v>
      </c>
      <c r="R28" s="3"/>
      <c r="T28" s="5" t="s">
        <v>27</v>
      </c>
      <c r="U28" s="15">
        <f>+ROUND(B$3*EXP(K28),6)</f>
        <v>7.7038270000000004</v>
      </c>
      <c r="V28" s="15">
        <f>+ROUND(C$3*EXP(L28),6)</f>
        <v>9.4752240000000008</v>
      </c>
      <c r="W28" s="15">
        <f>+ROUND(D$3*EXP(M28),6)</f>
        <v>1.147572</v>
      </c>
      <c r="X28" s="15">
        <f>+ROUND(E$3*EXP(N28),6)</f>
        <v>1.160747</v>
      </c>
      <c r="Y28" s="15">
        <f>+ROUND(F$3*EXP(O28),6)</f>
        <v>4.9504169999999998</v>
      </c>
      <c r="Z28" s="15">
        <f>+ROUND(G$3*EXP(P28),6)</f>
        <v>4.3924519999999996</v>
      </c>
      <c r="AA28" s="15">
        <f>+ROUND(H$3*EXP(Q28),6)</f>
        <v>3.4411119999999999</v>
      </c>
      <c r="AB28" s="1">
        <v>26</v>
      </c>
      <c r="AC28" s="5" t="s">
        <v>27</v>
      </c>
      <c r="AD28" s="16">
        <f>+ROUND(Pozisyon!$U$4*('Data - Simülasyon- P&amp;L'!U28-'Data - Simülasyon- P&amp;L'!B$3),6)</f>
        <v>14951.088</v>
      </c>
      <c r="AE28" s="16">
        <f>+ROUND(Pozisyon!$U$5*('Data - Simülasyon- P&amp;L'!V28-'Data - Simülasyon- P&amp;L'!C$3),6)</f>
        <v>3130.6</v>
      </c>
      <c r="AF28" s="16">
        <f>+ROUND(Pozisyon!$U$6*('Data - Simülasyon- P&amp;L'!W28-'Data - Simülasyon- P&amp;L'!D$3),6)</f>
        <v>-30420.525000000001</v>
      </c>
      <c r="AG28" s="16">
        <f>+ROUND(Pozisyon!$U$7*('Data - Simülasyon- P&amp;L'!X28-'Data - Simülasyon- P&amp;L'!E$3),6)</f>
        <v>3793.6909999999998</v>
      </c>
      <c r="AH28" s="16">
        <f>+ROUND(Pozisyon!$U$8*('Data - Simülasyon- P&amp;L'!Y28-'Data - Simülasyon- P&amp;L'!F$3),6)</f>
        <v>-6330.7619999999997</v>
      </c>
      <c r="AI28" s="16">
        <f>+ROUND(Pozisyon!$U$9*('Data - Simülasyon- P&amp;L'!Z28-'Data - Simülasyon- P&amp;L'!G$3),6)</f>
        <v>18798.052</v>
      </c>
      <c r="AJ28" s="16">
        <f>+ROUND(Pozisyon!$U$10*('Data - Simülasyon- P&amp;L'!AA28-'Data - Simülasyon- P&amp;L'!H$3),6)</f>
        <v>7410.3119999999999</v>
      </c>
      <c r="AK28" s="16">
        <f>+SUM(AD28:AJ28)</f>
        <v>11332.455999999996</v>
      </c>
      <c r="AL28" s="16">
        <f>+SMALL($AK$3:$AK$254,AB28)</f>
        <v>-84063.861000000004</v>
      </c>
    </row>
    <row r="29" spans="1:38" ht="15" thickBot="1" x14ac:dyDescent="0.35">
      <c r="A29" s="5" t="s">
        <v>310</v>
      </c>
      <c r="B29" s="6">
        <v>7.32</v>
      </c>
      <c r="C29" s="5">
        <v>8.9600000000000009</v>
      </c>
      <c r="D29" s="6">
        <v>7</v>
      </c>
      <c r="E29" s="5">
        <v>1.07</v>
      </c>
      <c r="F29" s="5">
        <v>5.05</v>
      </c>
      <c r="G29" s="5">
        <v>4.16</v>
      </c>
      <c r="H29" s="5">
        <v>3.24</v>
      </c>
      <c r="J29" s="5" t="s">
        <v>310</v>
      </c>
      <c r="K29" s="11">
        <f>+ROUND(LN(B29/B30),6)</f>
        <v>1.3669999999999999E-3</v>
      </c>
      <c r="L29" s="11">
        <f>+ROUND(LN(C29/C30),6)</f>
        <v>2.235E-3</v>
      </c>
      <c r="M29" s="11">
        <f>+ROUND(LN(D29/D30),6)</f>
        <v>-3.5090999999999997E-2</v>
      </c>
      <c r="N29" s="11">
        <f>+ROUND(LN(E29/E30),6)</f>
        <v>0</v>
      </c>
      <c r="O29" s="11">
        <f>+ROUND(LN(F29/F30),6)</f>
        <v>5.9579999999999998E-3</v>
      </c>
      <c r="P29" s="11">
        <f>+ROUND(LN(G29/G30),6)</f>
        <v>-7.1859999999999997E-3</v>
      </c>
      <c r="Q29" s="11">
        <f>+ROUND(LN(H29/H30),6)</f>
        <v>3.091E-3</v>
      </c>
      <c r="R29" s="3"/>
      <c r="T29" s="5" t="s">
        <v>28</v>
      </c>
      <c r="U29" s="15">
        <f>+ROUND(B$3*EXP(K29),6)</f>
        <v>7.6103959999999997</v>
      </c>
      <c r="V29" s="15">
        <f>+ROUND(C$3*EXP(L29),6)</f>
        <v>9.3709209999999992</v>
      </c>
      <c r="W29" s="15">
        <f>+ROUND(D$3*EXP(M29),6)</f>
        <v>2.6744840000000001</v>
      </c>
      <c r="X29" s="15">
        <f>+ROUND(E$3*EXP(N29),6)</f>
        <v>1.1499999999999999</v>
      </c>
      <c r="Y29" s="15">
        <f>+ROUND(F$3*EXP(O29),6)</f>
        <v>5.0097589999999999</v>
      </c>
      <c r="Z29" s="15">
        <f>+ROUND(G$3*EXP(P29),6)</f>
        <v>4.2989959999999998</v>
      </c>
      <c r="AA29" s="15">
        <f>+ROUND(H$3*EXP(Q29),6)</f>
        <v>3.4305880000000002</v>
      </c>
      <c r="AB29" s="1">
        <v>27</v>
      </c>
      <c r="AC29" s="5" t="s">
        <v>28</v>
      </c>
      <c r="AD29" s="16">
        <f>+ROUND(Pozisyon!$U$4*('Data - Simülasyon- P&amp;L'!U29-'Data - Simülasyon- P&amp;L'!B$3),6)</f>
        <v>1497.0239999999999</v>
      </c>
      <c r="AE29" s="16">
        <f>+ROUND(Pozisyon!$U$5*('Data - Simülasyon- P&amp;L'!V29-'Data - Simülasyon- P&amp;L'!C$3),6)</f>
        <v>523.02499999999998</v>
      </c>
      <c r="AF29" s="16">
        <f>+ROUND(Pozisyon!$U$6*('Data - Simülasyon- P&amp;L'!W29-'Data - Simülasyon- P&amp;L'!D$3),6)</f>
        <v>-1790.925</v>
      </c>
      <c r="AG29" s="16">
        <f>+ROUND(Pozisyon!$U$7*('Data - Simülasyon- P&amp;L'!X29-'Data - Simülasyon- P&amp;L'!E$3),6)</f>
        <v>0</v>
      </c>
      <c r="AH29" s="16">
        <f>+ROUND(Pozisyon!$U$8*('Data - Simülasyon- P&amp;L'!Y29-'Data - Simülasyon- P&amp;L'!F$3),6)</f>
        <v>6368.4260000000004</v>
      </c>
      <c r="AI29" s="16">
        <f>+ROUND(Pozisyon!$U$9*('Data - Simülasyon- P&amp;L'!Z29-'Data - Simülasyon- P&amp;L'!G$3),6)</f>
        <v>-9332.2039999999997</v>
      </c>
      <c r="AJ29" s="16">
        <f>+ROUND(Pozisyon!$U$10*('Data - Simülasyon- P&amp;L'!AA29-'Data - Simülasyon- P&amp;L'!H$3),6)</f>
        <v>3716.3879999999999</v>
      </c>
      <c r="AK29" s="16">
        <f>+SUM(AD29:AJ29)</f>
        <v>981.73400000000038</v>
      </c>
      <c r="AL29" s="16">
        <f>+SMALL($AK$3:$AK$254,AB29)</f>
        <v>-82557.141499999998</v>
      </c>
    </row>
    <row r="30" spans="1:38" ht="15" thickBot="1" x14ac:dyDescent="0.35">
      <c r="A30" s="5" t="s">
        <v>311</v>
      </c>
      <c r="B30" s="6">
        <v>7.31</v>
      </c>
      <c r="C30" s="5">
        <v>8.94</v>
      </c>
      <c r="D30" s="6">
        <v>7.25</v>
      </c>
      <c r="E30" s="5">
        <v>1.07</v>
      </c>
      <c r="F30" s="5">
        <v>5.0199999999999996</v>
      </c>
      <c r="G30" s="5">
        <v>4.1900000000000004</v>
      </c>
      <c r="H30" s="5">
        <v>3.23</v>
      </c>
      <c r="J30" s="5" t="s">
        <v>311</v>
      </c>
      <c r="K30" s="11">
        <f>+ROUND(LN(B30/B31),6)</f>
        <v>-2.9652000000000001E-2</v>
      </c>
      <c r="L30" s="11">
        <f>+ROUND(LN(C30/C31),6)</f>
        <v>-2.6492000000000002E-2</v>
      </c>
      <c r="M30" s="11">
        <f>+ROUND(LN(D30/D31),6)</f>
        <v>8.3099999999999997E-3</v>
      </c>
      <c r="N30" s="11">
        <f>+ROUND(LN(E30/E31),6)</f>
        <v>-4.5670000000000002E-2</v>
      </c>
      <c r="O30" s="11">
        <f>+ROUND(LN(F30/F31),6)</f>
        <v>-2.3623000000000002E-2</v>
      </c>
      <c r="P30" s="11">
        <f>+ROUND(LN(G30/G31),6)</f>
        <v>-2.3585999999999999E-2</v>
      </c>
      <c r="Q30" s="11">
        <f>+ROUND(LN(H30/H31),6)</f>
        <v>-1.8405000000000001E-2</v>
      </c>
      <c r="R30" s="3"/>
      <c r="T30" s="5" t="s">
        <v>29</v>
      </c>
      <c r="U30" s="15">
        <f>+ROUND(B$3*EXP(K30),6)</f>
        <v>7.3779529999999998</v>
      </c>
      <c r="V30" s="15">
        <f>+ROUND(C$3*EXP(L30),6)</f>
        <v>9.1055519999999994</v>
      </c>
      <c r="W30" s="15">
        <f>+ROUND(D$3*EXP(M30),6)</f>
        <v>2.7931149999999998</v>
      </c>
      <c r="X30" s="15">
        <f>+ROUND(E$3*EXP(N30),6)</f>
        <v>1.0986610000000001</v>
      </c>
      <c r="Y30" s="15">
        <f>+ROUND(F$3*EXP(O30),6)</f>
        <v>4.8637360000000003</v>
      </c>
      <c r="Z30" s="15">
        <f>+ROUND(G$3*EXP(P30),6)</f>
        <v>4.2290679999999998</v>
      </c>
      <c r="AA30" s="15">
        <f>+ROUND(H$3*EXP(Q30),6)</f>
        <v>3.357631</v>
      </c>
      <c r="AB30" s="1">
        <v>28</v>
      </c>
      <c r="AC30" s="5" t="s">
        <v>29</v>
      </c>
      <c r="AD30" s="16">
        <f>+ROUND(Pozisyon!$U$4*('Data - Simülasyon- P&amp;L'!U30-'Data - Simülasyon- P&amp;L'!B$3),6)</f>
        <v>-31974.768</v>
      </c>
      <c r="AE30" s="16">
        <f>+ROUND(Pozisyon!$U$5*('Data - Simülasyon- P&amp;L'!V30-'Data - Simülasyon- P&amp;L'!C$3),6)</f>
        <v>-6111.2</v>
      </c>
      <c r="AF30" s="16">
        <f>+ROUND(Pozisyon!$U$6*('Data - Simülasyon- P&amp;L'!W30-'Data - Simülasyon- P&amp;L'!D$3),6)</f>
        <v>433.40625</v>
      </c>
      <c r="AG30" s="16">
        <f>+ROUND(Pozisyon!$U$7*('Data - Simülasyon- P&amp;L'!X30-'Data - Simülasyon- P&amp;L'!E$3),6)</f>
        <v>-18122.667000000001</v>
      </c>
      <c r="AH30" s="16">
        <f>+ROUND(Pozisyon!$U$8*('Data - Simülasyon- P&amp;L'!Y30-'Data - Simülasyon- P&amp;L'!F$3),6)</f>
        <v>-24880.495999999999</v>
      </c>
      <c r="AI30" s="16">
        <f>+ROUND(Pozisyon!$U$9*('Data - Simülasyon- P&amp;L'!Z30-'Data - Simülasyon- P&amp;L'!G$3),6)</f>
        <v>-30380.531999999999</v>
      </c>
      <c r="AJ30" s="16">
        <f>+ROUND(Pozisyon!$U$10*('Data - Simülasyon- P&amp;L'!AA30-'Data - Simülasyon- P&amp;L'!H$3),6)</f>
        <v>-21891.519</v>
      </c>
      <c r="AK30" s="16">
        <f>+SUM(AD30:AJ30)</f>
        <v>-132927.77575</v>
      </c>
      <c r="AL30" s="16">
        <f>+SMALL($AK$3:$AK$254,AB30)</f>
        <v>-80715.470750000008</v>
      </c>
    </row>
    <row r="31" spans="1:38" ht="15" thickBot="1" x14ac:dyDescent="0.35">
      <c r="A31" s="5" t="s">
        <v>312</v>
      </c>
      <c r="B31" s="6">
        <v>7.53</v>
      </c>
      <c r="C31" s="5">
        <v>9.18</v>
      </c>
      <c r="D31" s="6">
        <v>7.19</v>
      </c>
      <c r="E31" s="5">
        <v>1.1200000000000001</v>
      </c>
      <c r="F31" s="5">
        <v>5.14</v>
      </c>
      <c r="G31" s="5">
        <v>4.29</v>
      </c>
      <c r="H31" s="5">
        <v>3.29</v>
      </c>
      <c r="J31" s="5" t="s">
        <v>312</v>
      </c>
      <c r="K31" s="11">
        <f>+ROUND(LN(B31/B32),6)</f>
        <v>-1.4503E-2</v>
      </c>
      <c r="L31" s="11">
        <f>+ROUND(LN(C31/C32),6)</f>
        <v>-1.9418000000000001E-2</v>
      </c>
      <c r="M31" s="11">
        <f>+ROUND(LN(D31/D32),6)</f>
        <v>0.135321</v>
      </c>
      <c r="N31" s="11">
        <f>+ROUND(LN(E31/E32),6)</f>
        <v>0</v>
      </c>
      <c r="O31" s="11">
        <f>+ROUND(LN(F31/F32),6)</f>
        <v>-1.7357999999999998E-2</v>
      </c>
      <c r="P31" s="11">
        <f>+ROUND(LN(G31/G32),6)</f>
        <v>-1.3889E-2</v>
      </c>
      <c r="Q31" s="11">
        <f>+ROUND(LN(H31/H32),6)</f>
        <v>-1.2085E-2</v>
      </c>
      <c r="R31" s="3"/>
      <c r="T31" s="5" t="s">
        <v>30</v>
      </c>
      <c r="U31" s="15">
        <f>+ROUND(B$3*EXP(K31),6)</f>
        <v>7.4905730000000004</v>
      </c>
      <c r="V31" s="15">
        <f>+ROUND(C$3*EXP(L31),6)</f>
        <v>9.1701929999999994</v>
      </c>
      <c r="W31" s="15">
        <f>+ROUND(D$3*EXP(M31),6)</f>
        <v>3.1713849999999999</v>
      </c>
      <c r="X31" s="15">
        <f>+ROUND(E$3*EXP(N31),6)</f>
        <v>1.1499999999999999</v>
      </c>
      <c r="Y31" s="15">
        <f>+ROUND(F$3*EXP(O31),6)</f>
        <v>4.8943029999999998</v>
      </c>
      <c r="Z31" s="15">
        <f>+ROUND(G$3*EXP(P31),6)</f>
        <v>4.270276</v>
      </c>
      <c r="AA31" s="15">
        <f>+ROUND(H$3*EXP(Q31),6)</f>
        <v>3.3789180000000001</v>
      </c>
      <c r="AB31" s="1">
        <v>29</v>
      </c>
      <c r="AC31" s="5" t="s">
        <v>30</v>
      </c>
      <c r="AD31" s="16">
        <f>+ROUND(Pozisyon!$U$4*('Data - Simülasyon- P&amp;L'!U31-'Data - Simülasyon- P&amp;L'!B$3),6)</f>
        <v>-15757.487999999999</v>
      </c>
      <c r="AE31" s="16">
        <f>+ROUND(Pozisyon!$U$5*('Data - Simülasyon- P&amp;L'!V31-'Data - Simülasyon- P&amp;L'!C$3),6)</f>
        <v>-4495.1750000000002</v>
      </c>
      <c r="AF31" s="16">
        <f>+ROUND(Pozisyon!$U$6*('Data - Simülasyon- P&amp;L'!W31-'Data - Simülasyon- P&amp;L'!D$3),6)</f>
        <v>7525.96875</v>
      </c>
      <c r="AG31" s="16">
        <f>+ROUND(Pozisyon!$U$7*('Data - Simülasyon- P&amp;L'!X31-'Data - Simülasyon- P&amp;L'!E$3),6)</f>
        <v>0</v>
      </c>
      <c r="AH31" s="16">
        <f>+ROUND(Pozisyon!$U$8*('Data - Simülasyon- P&amp;L'!Y31-'Data - Simülasyon- P&amp;L'!F$3),6)</f>
        <v>-18339.157999999999</v>
      </c>
      <c r="AI31" s="16">
        <f>+ROUND(Pozisyon!$U$9*('Data - Simülasyon- P&amp;L'!Z31-'Data - Simülasyon- P&amp;L'!G$3),6)</f>
        <v>-17976.923999999999</v>
      </c>
      <c r="AJ31" s="16">
        <f>+ROUND(Pozisyon!$U$10*('Data - Simülasyon- P&amp;L'!AA31-'Data - Simülasyon- P&amp;L'!H$3),6)</f>
        <v>-14419.781999999999</v>
      </c>
      <c r="AK31" s="16">
        <f>+SUM(AD31:AJ31)</f>
        <v>-63462.558249999995</v>
      </c>
      <c r="AL31" s="16">
        <f>+SMALL($AK$3:$AK$254,AB31)</f>
        <v>-79194.377500000002</v>
      </c>
    </row>
    <row r="32" spans="1:38" ht="15" thickBot="1" x14ac:dyDescent="0.35">
      <c r="A32" s="5" t="s">
        <v>313</v>
      </c>
      <c r="B32" s="6">
        <v>7.64</v>
      </c>
      <c r="C32" s="5">
        <v>9.36</v>
      </c>
      <c r="D32" s="6">
        <v>6.28</v>
      </c>
      <c r="E32" s="5">
        <v>1.1200000000000001</v>
      </c>
      <c r="F32" s="5">
        <v>5.23</v>
      </c>
      <c r="G32" s="5">
        <v>4.3499999999999996</v>
      </c>
      <c r="H32" s="5">
        <v>3.33</v>
      </c>
      <c r="J32" s="5" t="s">
        <v>313</v>
      </c>
      <c r="K32" s="11">
        <f>+ROUND(LN(B32/B33),6)</f>
        <v>3.934E-3</v>
      </c>
      <c r="L32" s="11">
        <f>+ROUND(LN(C32/C33),6)</f>
        <v>8.5839999999999996E-3</v>
      </c>
      <c r="M32" s="11">
        <f>+ROUND(LN(D32/D33),6)</f>
        <v>2.0917999999999999E-2</v>
      </c>
      <c r="N32" s="11">
        <f>+ROUND(LN(E32/E33),6)</f>
        <v>-8.8889999999999993E-3</v>
      </c>
      <c r="O32" s="11">
        <f>+ROUND(LN(F32/F33),6)</f>
        <v>-1.91E-3</v>
      </c>
      <c r="P32" s="11">
        <f>+ROUND(LN(G32/G33),6)</f>
        <v>4.6080000000000001E-3</v>
      </c>
      <c r="Q32" s="11">
        <f>+ROUND(LN(H32/H33),6)</f>
        <v>3.0079999999999998E-3</v>
      </c>
      <c r="R32" s="3"/>
      <c r="T32" s="5" t="s">
        <v>31</v>
      </c>
      <c r="U32" s="15">
        <f>+ROUND(B$3*EXP(K32),6)</f>
        <v>7.6299570000000001</v>
      </c>
      <c r="V32" s="15">
        <f>+ROUND(C$3*EXP(L32),6)</f>
        <v>9.4306059999999992</v>
      </c>
      <c r="W32" s="15">
        <f>+ROUND(D$3*EXP(M32),6)</f>
        <v>2.8285529999999999</v>
      </c>
      <c r="X32" s="15">
        <f>+ROUND(E$3*EXP(N32),6)</f>
        <v>1.139823</v>
      </c>
      <c r="Y32" s="15">
        <f>+ROUND(F$3*EXP(O32),6)</f>
        <v>4.9704969999999999</v>
      </c>
      <c r="Z32" s="15">
        <f>+ROUND(G$3*EXP(P32),6)</f>
        <v>4.3499990000000004</v>
      </c>
      <c r="AA32" s="15">
        <f>+ROUND(H$3*EXP(Q32),6)</f>
        <v>3.4303029999999999</v>
      </c>
      <c r="AB32" s="1">
        <v>30</v>
      </c>
      <c r="AC32" s="5" t="s">
        <v>31</v>
      </c>
      <c r="AD32" s="16">
        <f>+ROUND(Pozisyon!$U$4*('Data - Simülasyon- P&amp;L'!U32-'Data - Simülasyon- P&amp;L'!B$3),6)</f>
        <v>4313.808</v>
      </c>
      <c r="AE32" s="16">
        <f>+ROUND(Pozisyon!$U$5*('Data - Simülasyon- P&amp;L'!V32-'Data - Simülasyon- P&amp;L'!C$3),6)</f>
        <v>2015.15</v>
      </c>
      <c r="AF32" s="16">
        <f>+ROUND(Pozisyon!$U$6*('Data - Simülasyon- P&amp;L'!W32-'Data - Simülasyon- P&amp;L'!D$3),6)</f>
        <v>1097.8687500000001</v>
      </c>
      <c r="AG32" s="16">
        <f>+ROUND(Pozisyon!$U$7*('Data - Simülasyon- P&amp;L'!X32-'Data - Simülasyon- P&amp;L'!E$3),6)</f>
        <v>-3592.4810000000002</v>
      </c>
      <c r="AH32" s="16">
        <f>+ROUND(Pozisyon!$U$8*('Data - Simülasyon- P&amp;L'!Y32-'Data - Simülasyon- P&amp;L'!F$3),6)</f>
        <v>-2033.6420000000001</v>
      </c>
      <c r="AI32" s="16">
        <f>+ROUND(Pozisyon!$U$9*('Data - Simülasyon- P&amp;L'!Z32-'Data - Simülasyon- P&amp;L'!G$3),6)</f>
        <v>6019.6989999999996</v>
      </c>
      <c r="AJ32" s="16">
        <f>+ROUND(Pozisyon!$U$10*('Data - Simülasyon- P&amp;L'!AA32-'Data - Simülasyon- P&amp;L'!H$3),6)</f>
        <v>3616.3530000000001</v>
      </c>
      <c r="AK32" s="16">
        <f>+SUM(AD32:AJ32)</f>
        <v>11436.75575</v>
      </c>
      <c r="AL32" s="16">
        <f>+SMALL($AK$3:$AK$254,AB32)</f>
        <v>-77088.755000000005</v>
      </c>
    </row>
    <row r="33" spans="1:38" ht="15" thickBot="1" x14ac:dyDescent="0.35">
      <c r="A33" s="5" t="s">
        <v>314</v>
      </c>
      <c r="B33" s="6">
        <v>7.61</v>
      </c>
      <c r="C33" s="5">
        <v>9.2799999999999994</v>
      </c>
      <c r="D33" s="6">
        <v>6.15</v>
      </c>
      <c r="E33" s="5">
        <v>1.1299999999999999</v>
      </c>
      <c r="F33" s="5">
        <v>5.24</v>
      </c>
      <c r="G33" s="5">
        <v>4.33</v>
      </c>
      <c r="H33" s="5">
        <v>3.32</v>
      </c>
      <c r="J33" s="5" t="s">
        <v>314</v>
      </c>
      <c r="K33" s="11">
        <f>+ROUND(LN(B33/B34),6)</f>
        <v>-1.1757E-2</v>
      </c>
      <c r="L33" s="11">
        <f>+ROUND(LN(C33/C34),6)</f>
        <v>-4.3010000000000001E-3</v>
      </c>
      <c r="M33" s="11">
        <f>+ROUND(LN(D33/D34),6)</f>
        <v>1.627E-3</v>
      </c>
      <c r="N33" s="11">
        <f>+ROUND(LN(E33/E34),6)</f>
        <v>-8.8109999999999994E-3</v>
      </c>
      <c r="O33" s="11">
        <f>+ROUND(LN(F33/F34),6)</f>
        <v>1.9268E-2</v>
      </c>
      <c r="P33" s="11">
        <f>+ROUND(LN(G33/G34),6)</f>
        <v>-6.9049999999999997E-3</v>
      </c>
      <c r="Q33" s="11">
        <f>+ROUND(LN(H33/H34),6)</f>
        <v>-3.0079999999999998E-3</v>
      </c>
      <c r="R33" s="3"/>
      <c r="T33" s="5" t="s">
        <v>32</v>
      </c>
      <c r="U33" s="15">
        <f>+ROUND(B$3*EXP(K33),6)</f>
        <v>7.5111699999999999</v>
      </c>
      <c r="V33" s="15">
        <f>+ROUND(C$3*EXP(L33),6)</f>
        <v>9.3098720000000004</v>
      </c>
      <c r="W33" s="15">
        <f>+ROUND(D$3*EXP(M33),6)</f>
        <v>2.7745099999999998</v>
      </c>
      <c r="X33" s="15">
        <f>+ROUND(E$3*EXP(N33),6)</f>
        <v>1.139912</v>
      </c>
      <c r="Y33" s="15">
        <f>+ROUND(F$3*EXP(O33),6)</f>
        <v>5.0768849999999999</v>
      </c>
      <c r="Z33" s="15">
        <f>+ROUND(G$3*EXP(P33),6)</f>
        <v>4.3002039999999999</v>
      </c>
      <c r="AA33" s="15">
        <f>+ROUND(H$3*EXP(Q33),6)</f>
        <v>3.4097279999999999</v>
      </c>
      <c r="AB33" s="1">
        <v>31</v>
      </c>
      <c r="AC33" s="5" t="s">
        <v>32</v>
      </c>
      <c r="AD33" s="16">
        <f>+ROUND(Pozisyon!$U$4*('Data - Simülasyon- P&amp;L'!U33-'Data - Simülasyon- P&amp;L'!B$3),6)</f>
        <v>-12791.52</v>
      </c>
      <c r="AE33" s="16">
        <f>+ROUND(Pozisyon!$U$5*('Data - Simülasyon- P&amp;L'!V33-'Data - Simülasyon- P&amp;L'!C$3),6)</f>
        <v>-1003.2</v>
      </c>
      <c r="AF33" s="16">
        <f>+ROUND(Pozisyon!$U$6*('Data - Simülasyon- P&amp;L'!W33-'Data - Simülasyon- P&amp;L'!D$3),6)</f>
        <v>84.5625</v>
      </c>
      <c r="AG33" s="16">
        <f>+ROUND(Pozisyon!$U$7*('Data - Simülasyon- P&amp;L'!X33-'Data - Simülasyon- P&amp;L'!E$3),6)</f>
        <v>-3561.0639999999999</v>
      </c>
      <c r="AH33" s="16">
        <f>+ROUND(Pozisyon!$U$8*('Data - Simülasyon- P&amp;L'!Y33-'Data - Simülasyon- P&amp;L'!F$3),6)</f>
        <v>20733.39</v>
      </c>
      <c r="AI33" s="16">
        <f>+ROUND(Pozisyon!$U$9*('Data - Simülasyon- P&amp;L'!Z33-'Data - Simülasyon- P&amp;L'!G$3),6)</f>
        <v>-8968.5959999999995</v>
      </c>
      <c r="AJ33" s="16">
        <f>+ROUND(Pozisyon!$U$10*('Data - Simülasyon- P&amp;L'!AA33-'Data - Simülasyon- P&amp;L'!H$3),6)</f>
        <v>-3605.4720000000002</v>
      </c>
      <c r="AK33" s="16">
        <f>+SUM(AD33:AJ33)</f>
        <v>-9111.8994999999995</v>
      </c>
      <c r="AL33" s="16">
        <f>+SMALL($AK$3:$AK$254,AB33)</f>
        <v>-76470.739000000001</v>
      </c>
    </row>
    <row r="34" spans="1:38" ht="15" thickBot="1" x14ac:dyDescent="0.35">
      <c r="A34" s="5" t="s">
        <v>315</v>
      </c>
      <c r="B34" s="6">
        <v>7.7</v>
      </c>
      <c r="C34" s="5">
        <v>9.32</v>
      </c>
      <c r="D34" s="6">
        <v>6.14</v>
      </c>
      <c r="E34" s="5">
        <v>1.1399999999999999</v>
      </c>
      <c r="F34" s="5">
        <v>5.14</v>
      </c>
      <c r="G34" s="5">
        <v>4.3600000000000003</v>
      </c>
      <c r="H34" s="5">
        <v>3.33</v>
      </c>
      <c r="J34" s="5" t="s">
        <v>315</v>
      </c>
      <c r="K34" s="11">
        <f>+ROUND(LN(B34/B35),6)</f>
        <v>1.0444E-2</v>
      </c>
      <c r="L34" s="11">
        <f>+ROUND(LN(C34/C35),6)</f>
        <v>6.4590000000000003E-3</v>
      </c>
      <c r="M34" s="11">
        <f>+ROUND(LN(D34/D35),6)</f>
        <v>1.1466E-2</v>
      </c>
      <c r="N34" s="11">
        <f>+ROUND(LN(E34/E35),6)</f>
        <v>0</v>
      </c>
      <c r="O34" s="11">
        <f>+ROUND(LN(F34/F35),6)</f>
        <v>-7.7520000000000002E-3</v>
      </c>
      <c r="P34" s="11">
        <f>+ROUND(LN(G34/G35),6)</f>
        <v>6.9049999999999997E-3</v>
      </c>
      <c r="Q34" s="11">
        <f>+ROUND(LN(H34/H35),6)</f>
        <v>6.0239999999999998E-3</v>
      </c>
      <c r="R34" s="3"/>
      <c r="T34" s="5" t="s">
        <v>33</v>
      </c>
      <c r="U34" s="15">
        <f>+ROUND(B$3*EXP(K34),6)</f>
        <v>7.6797899999999997</v>
      </c>
      <c r="V34" s="15">
        <f>+ROUND(C$3*EXP(L34),6)</f>
        <v>9.4105869999999996</v>
      </c>
      <c r="W34" s="15">
        <f>+ROUND(D$3*EXP(M34),6)</f>
        <v>2.8019440000000002</v>
      </c>
      <c r="X34" s="15">
        <f>+ROUND(E$3*EXP(N34),6)</f>
        <v>1.1499999999999999</v>
      </c>
      <c r="Y34" s="15">
        <f>+ROUND(F$3*EXP(O34),6)</f>
        <v>4.9415440000000004</v>
      </c>
      <c r="Z34" s="15">
        <f>+ROUND(G$3*EXP(P34),6)</f>
        <v>4.3600019999999997</v>
      </c>
      <c r="AA34" s="15">
        <f>+ROUND(H$3*EXP(Q34),6)</f>
        <v>3.4406639999999999</v>
      </c>
      <c r="AB34" s="1">
        <v>32</v>
      </c>
      <c r="AC34" s="5" t="s">
        <v>33</v>
      </c>
      <c r="AD34" s="16">
        <f>+ROUND(Pozisyon!$U$4*('Data - Simülasyon- P&amp;L'!U34-'Data - Simülasyon- P&amp;L'!B$3),6)</f>
        <v>11489.76</v>
      </c>
      <c r="AE34" s="16">
        <f>+ROUND(Pozisyon!$U$5*('Data - Simülasyon- P&amp;L'!V34-'Data - Simülasyon- P&amp;L'!C$3),6)</f>
        <v>1514.675</v>
      </c>
      <c r="AF34" s="16">
        <f>+ROUND(Pozisyon!$U$6*('Data - Simülasyon- P&amp;L'!W34-'Data - Simülasyon- P&amp;L'!D$3),6)</f>
        <v>598.95000000000005</v>
      </c>
      <c r="AG34" s="16">
        <f>+ROUND(Pozisyon!$U$7*('Data - Simülasyon- P&amp;L'!X34-'Data - Simülasyon- P&amp;L'!E$3),6)</f>
        <v>0</v>
      </c>
      <c r="AH34" s="16">
        <f>+ROUND(Pozisyon!$U$8*('Data - Simülasyon- P&amp;L'!Y34-'Data - Simülasyon- P&amp;L'!F$3),6)</f>
        <v>-8229.5840000000007</v>
      </c>
      <c r="AI34" s="16">
        <f>+ROUND(Pozisyon!$U$9*('Data - Simülasyon- P&amp;L'!Z34-'Data - Simülasyon- P&amp;L'!G$3),6)</f>
        <v>9030.6020000000008</v>
      </c>
      <c r="AJ34" s="16">
        <f>+ROUND(Pozisyon!$U$10*('Data - Simülasyon- P&amp;L'!AA34-'Data - Simülasyon- P&amp;L'!H$3),6)</f>
        <v>7253.0640000000003</v>
      </c>
      <c r="AK34" s="16">
        <f>+SUM(AD34:AJ34)</f>
        <v>21657.467000000001</v>
      </c>
      <c r="AL34" s="16">
        <f>+SMALL($AK$3:$AK$254,AB34)</f>
        <v>-75085.356750000006</v>
      </c>
    </row>
    <row r="35" spans="1:38" ht="15" thickBot="1" x14ac:dyDescent="0.35">
      <c r="A35" s="5" t="s">
        <v>316</v>
      </c>
      <c r="B35" s="6">
        <v>7.62</v>
      </c>
      <c r="C35" s="5">
        <v>9.26</v>
      </c>
      <c r="D35" s="6">
        <v>6.07</v>
      </c>
      <c r="E35" s="5">
        <v>1.1399999999999999</v>
      </c>
      <c r="F35" s="5">
        <v>5.18</v>
      </c>
      <c r="G35" s="5">
        <v>4.33</v>
      </c>
      <c r="H35" s="5">
        <v>3.31</v>
      </c>
      <c r="J35" s="5" t="s">
        <v>316</v>
      </c>
      <c r="K35" s="11">
        <f>+ROUND(LN(B35/B36),6)</f>
        <v>-1.3110000000000001E-3</v>
      </c>
      <c r="L35" s="11">
        <f>+ROUND(LN(C35/C36),6)</f>
        <v>1.4138E-2</v>
      </c>
      <c r="M35" s="11">
        <f>+ROUND(LN(D35/D36),6)</f>
        <v>0</v>
      </c>
      <c r="N35" s="11">
        <f>+ROUND(LN(E35/E36),6)</f>
        <v>8.8109999999999994E-3</v>
      </c>
      <c r="O35" s="11">
        <f>+ROUND(LN(F35/F36),6)</f>
        <v>0</v>
      </c>
      <c r="P35" s="11">
        <f>+ROUND(LN(G35/G36),6)</f>
        <v>0</v>
      </c>
      <c r="Q35" s="11">
        <f>+ROUND(LN(H35/H36),6)</f>
        <v>0</v>
      </c>
      <c r="R35" s="3"/>
      <c r="T35" s="5" t="s">
        <v>34</v>
      </c>
      <c r="U35" s="15">
        <f>+ROUND(B$3*EXP(K35),6)</f>
        <v>7.5900429999999997</v>
      </c>
      <c r="V35" s="15">
        <f>+ROUND(C$3*EXP(L35),6)</f>
        <v>9.4831289999999999</v>
      </c>
      <c r="W35" s="15">
        <f>+ROUND(D$3*EXP(M35),6)</f>
        <v>2.77</v>
      </c>
      <c r="X35" s="15">
        <f>+ROUND(E$3*EXP(N35),6)</f>
        <v>1.160177</v>
      </c>
      <c r="Y35" s="15">
        <f>+ROUND(F$3*EXP(O35),6)</f>
        <v>4.9800000000000004</v>
      </c>
      <c r="Z35" s="15">
        <f>+ROUND(G$3*EXP(P35),6)</f>
        <v>4.33</v>
      </c>
      <c r="AA35" s="15">
        <f>+ROUND(H$3*EXP(Q35),6)</f>
        <v>3.42</v>
      </c>
      <c r="AB35" s="1">
        <v>33</v>
      </c>
      <c r="AC35" s="5" t="s">
        <v>34</v>
      </c>
      <c r="AD35" s="16">
        <f>+ROUND(Pozisyon!$U$4*('Data - Simülasyon- P&amp;L'!U35-'Data - Simülasyon- P&amp;L'!B$3),6)</f>
        <v>-1433.808</v>
      </c>
      <c r="AE35" s="16">
        <f>+ROUND(Pozisyon!$U$5*('Data - Simülasyon- P&amp;L'!V35-'Data - Simülasyon- P&amp;L'!C$3),6)</f>
        <v>3328.2249999999999</v>
      </c>
      <c r="AF35" s="16">
        <f>+ROUND(Pozisyon!$U$6*('Data - Simülasyon- P&amp;L'!W35-'Data - Simülasyon- P&amp;L'!D$3),6)</f>
        <v>0</v>
      </c>
      <c r="AG35" s="16">
        <f>+ROUND(Pozisyon!$U$7*('Data - Simülasyon- P&amp;L'!X35-'Data - Simülasyon- P&amp;L'!E$3),6)</f>
        <v>3592.4810000000002</v>
      </c>
      <c r="AH35" s="16">
        <f>+ROUND(Pozisyon!$U$8*('Data - Simülasyon- P&amp;L'!Y35-'Data - Simülasyon- P&amp;L'!F$3),6)</f>
        <v>0</v>
      </c>
      <c r="AI35" s="16">
        <f>+ROUND(Pozisyon!$U$9*('Data - Simülasyon- P&amp;L'!Z35-'Data - Simülasyon- P&amp;L'!G$3),6)</f>
        <v>0</v>
      </c>
      <c r="AJ35" s="16">
        <f>+ROUND(Pozisyon!$U$10*('Data - Simülasyon- P&amp;L'!AA35-'Data - Simülasyon- P&amp;L'!H$3),6)</f>
        <v>0</v>
      </c>
      <c r="AK35" s="16">
        <f>+SUM(AD35:AJ35)</f>
        <v>5486.8980000000001</v>
      </c>
      <c r="AL35" s="16">
        <f>+SMALL($AK$3:$AK$254,AB35)</f>
        <v>-74921.2745</v>
      </c>
    </row>
    <row r="36" spans="1:38" ht="15" thickBot="1" x14ac:dyDescent="0.35">
      <c r="A36" s="5" t="s">
        <v>317</v>
      </c>
      <c r="B36" s="6">
        <v>7.63</v>
      </c>
      <c r="C36" s="5">
        <v>9.1300000000000008</v>
      </c>
      <c r="D36" s="6">
        <v>6.07</v>
      </c>
      <c r="E36" s="5">
        <v>1.1299999999999999</v>
      </c>
      <c r="F36" s="5">
        <v>5.18</v>
      </c>
      <c r="G36" s="5">
        <v>4.33</v>
      </c>
      <c r="H36" s="5">
        <v>3.31</v>
      </c>
      <c r="J36" s="5" t="s">
        <v>317</v>
      </c>
      <c r="K36" s="11">
        <f>+ROUND(LN(B36/B37),6)</f>
        <v>-7.8329999999999997E-3</v>
      </c>
      <c r="L36" s="11">
        <f>+ROUND(LN(C36/C37),6)</f>
        <v>-1.5218000000000001E-2</v>
      </c>
      <c r="M36" s="11">
        <f>+ROUND(LN(D36/D37),6)</f>
        <v>1.6490000000000001E-3</v>
      </c>
      <c r="N36" s="11">
        <f>+ROUND(LN(E36/E37),6)</f>
        <v>-8.8109999999999994E-3</v>
      </c>
      <c r="O36" s="11">
        <f>+ROUND(LN(F36/F37),6)</f>
        <v>-9.606E-3</v>
      </c>
      <c r="P36" s="11">
        <f>+ROUND(LN(G36/G37),6)</f>
        <v>-1.3762E-2</v>
      </c>
      <c r="Q36" s="11">
        <f>+ROUND(LN(H36/H37),6)</f>
        <v>-1.7964999999999998E-2</v>
      </c>
      <c r="R36" s="3"/>
      <c r="T36" s="5" t="s">
        <v>35</v>
      </c>
      <c r="U36" s="15">
        <f>+ROUND(B$3*EXP(K36),6)</f>
        <v>7.5407019999999996</v>
      </c>
      <c r="V36" s="15">
        <f>+ROUND(C$3*EXP(L36),6)</f>
        <v>9.2087889999999994</v>
      </c>
      <c r="W36" s="15">
        <f>+ROUND(D$3*EXP(M36),6)</f>
        <v>2.7745709999999999</v>
      </c>
      <c r="X36" s="15">
        <f>+ROUND(E$3*EXP(N36),6)</f>
        <v>1.139912</v>
      </c>
      <c r="Y36" s="15">
        <f>+ROUND(F$3*EXP(O36),6)</f>
        <v>4.932391</v>
      </c>
      <c r="Z36" s="15">
        <f>+ROUND(G$3*EXP(P36),6)</f>
        <v>4.2708190000000004</v>
      </c>
      <c r="AA36" s="15">
        <f>+ROUND(H$3*EXP(Q36),6)</f>
        <v>3.359108</v>
      </c>
      <c r="AB36" s="1">
        <v>34</v>
      </c>
      <c r="AC36" s="5" t="s">
        <v>35</v>
      </c>
      <c r="AD36" s="16">
        <f>+ROUND(Pozisyon!$U$4*('Data - Simülasyon- P&amp;L'!U36-'Data - Simülasyon- P&amp;L'!B$3),6)</f>
        <v>-8538.9120000000003</v>
      </c>
      <c r="AE36" s="16">
        <f>+ROUND(Pozisyon!$U$5*('Data - Simülasyon- P&amp;L'!V36-'Data - Simülasyon- P&amp;L'!C$3),6)</f>
        <v>-3530.2750000000001</v>
      </c>
      <c r="AF36" s="16">
        <f>+ROUND(Pozisyon!$U$6*('Data - Simülasyon- P&amp;L'!W36-'Data - Simülasyon- P&amp;L'!D$3),6)</f>
        <v>85.706249999999997</v>
      </c>
      <c r="AG36" s="16">
        <f>+ROUND(Pozisyon!$U$7*('Data - Simülasyon- P&amp;L'!X36-'Data - Simülasyon- P&amp;L'!E$3),6)</f>
        <v>-3561.0639999999999</v>
      </c>
      <c r="AH36" s="16">
        <f>+ROUND(Pozisyon!$U$8*('Data - Simülasyon- P&amp;L'!Y36-'Data - Simülasyon- P&amp;L'!F$3),6)</f>
        <v>-10188.325999999999</v>
      </c>
      <c r="AI36" s="16">
        <f>+ROUND(Pozisyon!$U$9*('Data - Simülasyon- P&amp;L'!Z36-'Data - Simülasyon- P&amp;L'!G$3),6)</f>
        <v>-17813.481</v>
      </c>
      <c r="AJ36" s="16">
        <f>+ROUND(Pozisyon!$U$10*('Data - Simülasyon- P&amp;L'!AA36-'Data - Simülasyon- P&amp;L'!H$3),6)</f>
        <v>-21373.092000000001</v>
      </c>
      <c r="AK36" s="16">
        <f>+SUM(AD36:AJ36)</f>
        <v>-64919.443750000006</v>
      </c>
      <c r="AL36" s="16">
        <f>+SMALL($AK$3:$AK$254,AB36)</f>
        <v>-71103.729250000004</v>
      </c>
    </row>
    <row r="37" spans="1:38" ht="15" thickBot="1" x14ac:dyDescent="0.35">
      <c r="A37" s="5" t="s">
        <v>318</v>
      </c>
      <c r="B37" s="6">
        <v>7.69</v>
      </c>
      <c r="C37" s="5">
        <v>9.27</v>
      </c>
      <c r="D37" s="6">
        <v>6.06</v>
      </c>
      <c r="E37" s="5">
        <v>1.1399999999999999</v>
      </c>
      <c r="F37" s="5">
        <v>5.23</v>
      </c>
      <c r="G37" s="5">
        <v>4.3899999999999997</v>
      </c>
      <c r="H37" s="5">
        <v>3.37</v>
      </c>
      <c r="J37" s="5" t="s">
        <v>318</v>
      </c>
      <c r="K37" s="11">
        <f>+ROUND(LN(B37/B38),6)</f>
        <v>1.3089E-2</v>
      </c>
      <c r="L37" s="11">
        <f>+ROUND(LN(C37/C38),6)</f>
        <v>1.9608E-2</v>
      </c>
      <c r="M37" s="11">
        <f>+ROUND(LN(D37/D38),6)</f>
        <v>1.6639000000000001E-2</v>
      </c>
      <c r="N37" s="11">
        <f>+ROUND(LN(E37/E38),6)</f>
        <v>0</v>
      </c>
      <c r="O37" s="11">
        <f>+ROUND(LN(F37/F38),6)</f>
        <v>9.606E-3</v>
      </c>
      <c r="P37" s="11">
        <f>+ROUND(LN(G37/G38),6)</f>
        <v>1.8391000000000001E-2</v>
      </c>
      <c r="Q37" s="11">
        <f>+ROUND(LN(H37/H38),6)</f>
        <v>1.4947999999999999E-2</v>
      </c>
      <c r="R37" s="3"/>
      <c r="T37" s="5" t="s">
        <v>36</v>
      </c>
      <c r="U37" s="15">
        <f>+ROUND(B$3*EXP(K37),6)</f>
        <v>7.7001299999999997</v>
      </c>
      <c r="V37" s="15">
        <f>+ROUND(C$3*EXP(L37),6)</f>
        <v>9.5351440000000007</v>
      </c>
      <c r="W37" s="15">
        <f>+ROUND(D$3*EXP(M37),6)</f>
        <v>2.8164760000000002</v>
      </c>
      <c r="X37" s="15">
        <f>+ROUND(E$3*EXP(N37),6)</f>
        <v>1.1499999999999999</v>
      </c>
      <c r="Y37" s="15">
        <f>+ROUND(F$3*EXP(O37),6)</f>
        <v>5.0280680000000002</v>
      </c>
      <c r="Z37" s="15">
        <f>+ROUND(G$3*EXP(P37),6)</f>
        <v>4.4103700000000003</v>
      </c>
      <c r="AA37" s="15">
        <f>+ROUND(H$3*EXP(Q37),6)</f>
        <v>3.4715060000000002</v>
      </c>
      <c r="AB37" s="1">
        <v>35</v>
      </c>
      <c r="AC37" s="5" t="s">
        <v>36</v>
      </c>
      <c r="AD37" s="16">
        <f>+ROUND(Pozisyon!$U$4*('Data - Simülasyon- P&amp;L'!U37-'Data - Simülasyon- P&amp;L'!B$3),6)</f>
        <v>14418.72</v>
      </c>
      <c r="AE37" s="16">
        <f>+ROUND(Pozisyon!$U$5*('Data - Simülasyon- P&amp;L'!V37-'Data - Simülasyon- P&amp;L'!C$3),6)</f>
        <v>4628.6000000000004</v>
      </c>
      <c r="AF37" s="16">
        <f>+ROUND(Pozisyon!$U$6*('Data - Simülasyon- P&amp;L'!W37-'Data - Simülasyon- P&amp;L'!D$3),6)</f>
        <v>871.42499999999995</v>
      </c>
      <c r="AG37" s="16">
        <f>+ROUND(Pozisyon!$U$7*('Data - Simülasyon- P&amp;L'!X37-'Data - Simülasyon- P&amp;L'!E$3),6)</f>
        <v>0</v>
      </c>
      <c r="AH37" s="16">
        <f>+ROUND(Pozisyon!$U$8*('Data - Simülasyon- P&amp;L'!Y37-'Data - Simülasyon- P&amp;L'!F$3),6)</f>
        <v>10286.552</v>
      </c>
      <c r="AI37" s="16">
        <f>+ROUND(Pozisyon!$U$9*('Data - Simülasyon- P&amp;L'!Z37-'Data - Simülasyon- P&amp;L'!G$3),6)</f>
        <v>24191.37</v>
      </c>
      <c r="AJ37" s="16">
        <f>+ROUND(Pozisyon!$U$10*('Data - Simülasyon- P&amp;L'!AA37-'Data - Simülasyon- P&amp;L'!H$3),6)</f>
        <v>18078.606</v>
      </c>
      <c r="AK37" s="16">
        <f>+SUM(AD37:AJ37)</f>
        <v>72475.273000000001</v>
      </c>
      <c r="AL37" s="16">
        <f>+SMALL($AK$3:$AK$254,AB37)</f>
        <v>-70920.707999999999</v>
      </c>
    </row>
    <row r="38" spans="1:38" ht="15" thickBot="1" x14ac:dyDescent="0.35">
      <c r="A38" s="5" t="s">
        <v>319</v>
      </c>
      <c r="B38" s="6">
        <v>7.59</v>
      </c>
      <c r="C38" s="5">
        <v>9.09</v>
      </c>
      <c r="D38" s="6">
        <v>5.96</v>
      </c>
      <c r="E38" s="5">
        <v>1.1399999999999999</v>
      </c>
      <c r="F38" s="5">
        <v>5.18</v>
      </c>
      <c r="G38" s="5">
        <v>4.3099999999999996</v>
      </c>
      <c r="H38" s="5">
        <v>3.32</v>
      </c>
      <c r="J38" s="5" t="s">
        <v>319</v>
      </c>
      <c r="K38" s="11">
        <f>+ROUND(LN(B38/B39),6)</f>
        <v>-5.2560000000000003E-3</v>
      </c>
      <c r="L38" s="11">
        <f>+ROUND(LN(C38/C39),6)</f>
        <v>-2.0687000000000001E-2</v>
      </c>
      <c r="M38" s="11">
        <f>+ROUND(LN(D38/D39),6)</f>
        <v>1.6789999999999999E-3</v>
      </c>
      <c r="N38" s="11">
        <f>+ROUND(LN(E38/E39),6)</f>
        <v>-8.7340000000000004E-3</v>
      </c>
      <c r="O38" s="11">
        <f>+ROUND(LN(F38/F39),6)</f>
        <v>-7.6920000000000001E-3</v>
      </c>
      <c r="P38" s="11">
        <f>+ROUND(LN(G38/G39),6)</f>
        <v>-1.1534000000000001E-2</v>
      </c>
      <c r="Q38" s="11">
        <f>+ROUND(LN(H38/H39),6)</f>
        <v>-6.0060000000000001E-3</v>
      </c>
      <c r="R38" s="3"/>
      <c r="T38" s="5" t="s">
        <v>37</v>
      </c>
      <c r="U38" s="15">
        <f>+ROUND(B$3*EXP(K38),6)</f>
        <v>7.5601589999999996</v>
      </c>
      <c r="V38" s="15">
        <f>+ROUND(C$3*EXP(L38),6)</f>
        <v>9.1585640000000001</v>
      </c>
      <c r="W38" s="15">
        <f>+ROUND(D$3*EXP(M38),6)</f>
        <v>2.7746550000000001</v>
      </c>
      <c r="X38" s="15">
        <f>+ROUND(E$3*EXP(N38),6)</f>
        <v>1.1399999999999999</v>
      </c>
      <c r="Y38" s="15">
        <f>+ROUND(F$3*EXP(O38),6)</f>
        <v>4.9418410000000002</v>
      </c>
      <c r="Z38" s="15">
        <f>+ROUND(G$3*EXP(P38),6)</f>
        <v>4.2803449999999996</v>
      </c>
      <c r="AA38" s="15">
        <f>+ROUND(H$3*EXP(Q38),6)</f>
        <v>3.399521</v>
      </c>
      <c r="AB38" s="1">
        <v>36</v>
      </c>
      <c r="AC38" s="5" t="s">
        <v>37</v>
      </c>
      <c r="AD38" s="16">
        <f>+ROUND(Pozisyon!$U$4*('Data - Simülasyon- P&amp;L'!U38-'Data - Simülasyon- P&amp;L'!B$3),6)</f>
        <v>-5737.1040000000003</v>
      </c>
      <c r="AE38" s="16">
        <f>+ROUND(Pozisyon!$U$5*('Data - Simülasyon- P&amp;L'!V38-'Data - Simülasyon- P&amp;L'!C$3),6)</f>
        <v>-4785.8999999999996</v>
      </c>
      <c r="AF38" s="16">
        <f>+ROUND(Pozisyon!$U$6*('Data - Simülasyon- P&amp;L'!W38-'Data - Simülasyon- P&amp;L'!D$3),6)</f>
        <v>87.28125</v>
      </c>
      <c r="AG38" s="16">
        <f>+ROUND(Pozisyon!$U$7*('Data - Simülasyon- P&amp;L'!X38-'Data - Simülasyon- P&amp;L'!E$3),6)</f>
        <v>-3530</v>
      </c>
      <c r="AH38" s="16">
        <f>+ROUND(Pozisyon!$U$8*('Data - Simülasyon- P&amp;L'!Y38-'Data - Simülasyon- P&amp;L'!F$3),6)</f>
        <v>-8166.0259999999998</v>
      </c>
      <c r="AI38" s="16">
        <f>+ROUND(Pozisyon!$U$9*('Data - Simülasyon- P&amp;L'!Z38-'Data - Simülasyon- P&amp;L'!G$3),6)</f>
        <v>-14946.155000000001</v>
      </c>
      <c r="AJ38" s="16">
        <f>+ROUND(Pozisyon!$U$10*('Data - Simülasyon- P&amp;L'!AA38-'Data - Simülasyon- P&amp;L'!H$3),6)</f>
        <v>-7188.1289999999999</v>
      </c>
      <c r="AK38" s="16">
        <f>+SUM(AD38:AJ38)</f>
        <v>-44266.032749999998</v>
      </c>
      <c r="AL38" s="16">
        <f>+SMALL($AK$3:$AK$254,AB38)</f>
        <v>-70768.226749999987</v>
      </c>
    </row>
    <row r="39" spans="1:38" ht="15" thickBot="1" x14ac:dyDescent="0.35">
      <c r="A39" s="5" t="s">
        <v>320</v>
      </c>
      <c r="B39" s="6">
        <v>7.63</v>
      </c>
      <c r="C39" s="5">
        <v>9.2799999999999994</v>
      </c>
      <c r="D39" s="6">
        <v>5.95</v>
      </c>
      <c r="E39" s="5">
        <v>1.1499999999999999</v>
      </c>
      <c r="F39" s="5">
        <v>5.22</v>
      </c>
      <c r="G39" s="5">
        <v>4.3600000000000003</v>
      </c>
      <c r="H39" s="5">
        <v>3.34</v>
      </c>
      <c r="J39" s="5" t="s">
        <v>320</v>
      </c>
      <c r="K39" s="11">
        <f>+ROUND(LN(B39/B40),6)</f>
        <v>-1.6893999999999999E-2</v>
      </c>
      <c r="L39" s="11">
        <f>+ROUND(LN(C39/C40),6)</f>
        <v>-2.9725999999999999E-2</v>
      </c>
      <c r="M39" s="11">
        <f>+ROUND(LN(D39/D40),6)</f>
        <v>-1.3356E-2</v>
      </c>
      <c r="N39" s="11">
        <f>+ROUND(LN(E39/E40),6)</f>
        <v>-1.7242E-2</v>
      </c>
      <c r="O39" s="11">
        <f>+ROUND(LN(F39/F40),6)</f>
        <v>-5.731E-3</v>
      </c>
      <c r="P39" s="11">
        <f>+ROUND(LN(G39/G40),6)</f>
        <v>-1.5928000000000001E-2</v>
      </c>
      <c r="Q39" s="11">
        <f>+ROUND(LN(H39/H40),6)</f>
        <v>-8.9420000000000003E-3</v>
      </c>
      <c r="R39" s="3"/>
      <c r="T39" s="5" t="s">
        <v>38</v>
      </c>
      <c r="U39" s="15">
        <f>+ROUND(B$3*EXP(K39),6)</f>
        <v>7.4726840000000001</v>
      </c>
      <c r="V39" s="15">
        <f>+ROUND(C$3*EXP(L39),6)</f>
        <v>9.0761520000000004</v>
      </c>
      <c r="W39" s="15">
        <f>+ROUND(D$3*EXP(M39),6)</f>
        <v>2.73325</v>
      </c>
      <c r="X39" s="15">
        <f>+ROUND(E$3*EXP(N39),6)</f>
        <v>1.130342</v>
      </c>
      <c r="Y39" s="15">
        <f>+ROUND(F$3*EXP(O39),6)</f>
        <v>4.9515409999999997</v>
      </c>
      <c r="Z39" s="15">
        <f>+ROUND(G$3*EXP(P39),6)</f>
        <v>4.2615780000000001</v>
      </c>
      <c r="AA39" s="15">
        <f>+ROUND(H$3*EXP(Q39),6)</f>
        <v>3.3895550000000001</v>
      </c>
      <c r="AB39" s="1">
        <v>37</v>
      </c>
      <c r="AC39" s="5" t="s">
        <v>38</v>
      </c>
      <c r="AD39" s="16">
        <f>+ROUND(Pozisyon!$U$4*('Data - Simülasyon- P&amp;L'!U39-'Data - Simülasyon- P&amp;L'!B$3),6)</f>
        <v>-18333.504000000001</v>
      </c>
      <c r="AE39" s="16">
        <f>+ROUND(Pozisyon!$U$5*('Data - Simülasyon- P&amp;L'!V39-'Data - Simülasyon- P&amp;L'!C$3),6)</f>
        <v>-6846.2</v>
      </c>
      <c r="AF39" s="16">
        <f>+ROUND(Pozisyon!$U$6*('Data - Simülasyon- P&amp;L'!W39-'Data - Simülasyon- P&amp;L'!D$3),6)</f>
        <v>-689.0625</v>
      </c>
      <c r="AG39" s="16">
        <f>+ROUND(Pozisyon!$U$7*('Data - Simülasyon- P&amp;L'!X39-'Data - Simülasyon- P&amp;L'!E$3),6)</f>
        <v>-6939.2740000000003</v>
      </c>
      <c r="AH39" s="16">
        <f>+ROUND(Pozisyon!$U$8*('Data - Simülasyon- P&amp;L'!Y39-'Data - Simülasyon- P&amp;L'!F$3),6)</f>
        <v>-6090.2259999999997</v>
      </c>
      <c r="AI39" s="16">
        <f>+ROUND(Pozisyon!$U$9*('Data - Simülasyon- P&amp;L'!Z39-'Data - Simülasyon- P&amp;L'!G$3),6)</f>
        <v>-20595.022000000001</v>
      </c>
      <c r="AJ39" s="16">
        <f>+ROUND(Pozisyon!$U$10*('Data - Simülasyon- P&amp;L'!AA39-'Data - Simülasyon- P&amp;L'!H$3),6)</f>
        <v>-10686.195</v>
      </c>
      <c r="AK39" s="16">
        <f>+SUM(AD39:AJ39)</f>
        <v>-70179.483500000002</v>
      </c>
      <c r="AL39" s="16">
        <f>+SMALL($AK$3:$AK$254,AB39)</f>
        <v>-70179.483500000002</v>
      </c>
    </row>
    <row r="40" spans="1:38" ht="15" thickBot="1" x14ac:dyDescent="0.35">
      <c r="A40" s="5" t="s">
        <v>321</v>
      </c>
      <c r="B40" s="6">
        <v>7.76</v>
      </c>
      <c r="C40" s="5">
        <v>9.56</v>
      </c>
      <c r="D40" s="6">
        <v>6.03</v>
      </c>
      <c r="E40" s="5">
        <v>1.17</v>
      </c>
      <c r="F40" s="5">
        <v>5.25</v>
      </c>
      <c r="G40" s="5">
        <v>4.43</v>
      </c>
      <c r="H40" s="5">
        <v>3.37</v>
      </c>
      <c r="J40" s="5" t="s">
        <v>321</v>
      </c>
      <c r="K40" s="11">
        <f>+ROUND(LN(B40/B41),6)</f>
        <v>0</v>
      </c>
      <c r="L40" s="11">
        <f>+ROUND(LN(C40/C41),6)</f>
        <v>1.6878000000000001E-2</v>
      </c>
      <c r="M40" s="11">
        <f>+ROUND(LN(D40/D41),6)</f>
        <v>-3.2628999999999998E-2</v>
      </c>
      <c r="N40" s="11">
        <f>+ROUND(LN(E40/E41),6)</f>
        <v>3.4785999999999997E-2</v>
      </c>
      <c r="O40" s="11">
        <f>+ROUND(LN(F40/F41),6)</f>
        <v>-1.8867999999999999E-2</v>
      </c>
      <c r="P40" s="11">
        <f>+ROUND(LN(G40/G41),6)</f>
        <v>-1.3453E-2</v>
      </c>
      <c r="Q40" s="11">
        <f>+ROUND(LN(H40/H41),6)</f>
        <v>0</v>
      </c>
      <c r="R40" s="3"/>
      <c r="T40" s="5" t="s">
        <v>39</v>
      </c>
      <c r="U40" s="15">
        <f>+ROUND(B$3*EXP(K40),6)</f>
        <v>7.6</v>
      </c>
      <c r="V40" s="15">
        <f>+ROUND(C$3*EXP(L40),6)</f>
        <v>9.5091490000000007</v>
      </c>
      <c r="W40" s="15">
        <f>+ROUND(D$3*EXP(M40),6)</f>
        <v>2.681076</v>
      </c>
      <c r="X40" s="15">
        <f>+ROUND(E$3*EXP(N40),6)</f>
        <v>1.1907080000000001</v>
      </c>
      <c r="Y40" s="15">
        <f>+ROUND(F$3*EXP(O40),6)</f>
        <v>4.8869179999999997</v>
      </c>
      <c r="Z40" s="15">
        <f>+ROUND(G$3*EXP(P40),6)</f>
        <v>4.2721390000000001</v>
      </c>
      <c r="AA40" s="15">
        <f>+ROUND(H$3*EXP(Q40),6)</f>
        <v>3.42</v>
      </c>
      <c r="AB40" s="1">
        <v>38</v>
      </c>
      <c r="AC40" s="5" t="s">
        <v>39</v>
      </c>
      <c r="AD40" s="16">
        <f>+ROUND(Pozisyon!$U$4*('Data - Simülasyon- P&amp;L'!U40-'Data - Simülasyon- P&amp;L'!B$3),6)</f>
        <v>0</v>
      </c>
      <c r="AE40" s="16">
        <f>+ROUND(Pozisyon!$U$5*('Data - Simülasyon- P&amp;L'!V40-'Data - Simülasyon- P&amp;L'!C$3),6)</f>
        <v>3978.7249999999999</v>
      </c>
      <c r="AF40" s="16">
        <f>+ROUND(Pozisyon!$U$6*('Data - Simülasyon- P&amp;L'!W40-'Data - Simülasyon- P&amp;L'!D$3),6)</f>
        <v>-1667.325</v>
      </c>
      <c r="AG40" s="16">
        <f>+ROUND(Pozisyon!$U$7*('Data - Simülasyon- P&amp;L'!X40-'Data - Simülasyon- P&amp;L'!E$3),6)</f>
        <v>14369.924000000001</v>
      </c>
      <c r="AH40" s="16">
        <f>+ROUND(Pozisyon!$U$8*('Data - Simülasyon- P&amp;L'!Y40-'Data - Simülasyon- P&amp;L'!F$3),6)</f>
        <v>-19919.547999999999</v>
      </c>
      <c r="AI40" s="16">
        <f>+ROUND(Pozisyon!$U$9*('Data - Simülasyon- P&amp;L'!Z40-'Data - Simülasyon- P&amp;L'!G$3),6)</f>
        <v>-17416.161</v>
      </c>
      <c r="AJ40" s="16">
        <f>+ROUND(Pozisyon!$U$10*('Data - Simülasyon- P&amp;L'!AA40-'Data - Simülasyon- P&amp;L'!H$3),6)</f>
        <v>0</v>
      </c>
      <c r="AK40" s="16">
        <f>+SUM(AD40:AJ40)</f>
        <v>-20654.384999999998</v>
      </c>
      <c r="AL40" s="16">
        <f>+SMALL($AK$3:$AK$254,AB40)</f>
        <v>-69286.969500000007</v>
      </c>
    </row>
    <row r="41" spans="1:38" ht="15" thickBot="1" x14ac:dyDescent="0.35">
      <c r="A41" s="5" t="s">
        <v>322</v>
      </c>
      <c r="B41" s="6">
        <v>7.76</v>
      </c>
      <c r="C41" s="5">
        <v>9.4</v>
      </c>
      <c r="D41" s="6">
        <v>6.23</v>
      </c>
      <c r="E41" s="5">
        <v>1.1299999999999999</v>
      </c>
      <c r="F41" s="5">
        <v>5.35</v>
      </c>
      <c r="G41" s="5">
        <v>4.49</v>
      </c>
      <c r="H41" s="5">
        <v>3.37</v>
      </c>
      <c r="J41" s="5" t="s">
        <v>322</v>
      </c>
      <c r="K41" s="11">
        <f>+ROUND(LN(B41/B42),6)</f>
        <v>-1.2880000000000001E-3</v>
      </c>
      <c r="L41" s="11">
        <f>+ROUND(LN(C41/C42),6)</f>
        <v>6.4029999999999998E-3</v>
      </c>
      <c r="M41" s="11">
        <f>+ROUND(LN(D41/D42),6)</f>
        <v>4.5984999999999998E-2</v>
      </c>
      <c r="N41" s="11">
        <f>+ROUND(LN(E41/E42),6)</f>
        <v>-8.8109999999999994E-3</v>
      </c>
      <c r="O41" s="11">
        <f>+ROUND(LN(F41/F42),6)</f>
        <v>1.3169999999999999E-2</v>
      </c>
      <c r="P41" s="11">
        <f>+ROUND(LN(G41/G42),6)</f>
        <v>1.5713000000000001E-2</v>
      </c>
      <c r="Q41" s="11">
        <f>+ROUND(LN(H41/H42),6)</f>
        <v>-8.8629999999999994E-3</v>
      </c>
      <c r="R41" s="3"/>
      <c r="T41" s="5" t="s">
        <v>40</v>
      </c>
      <c r="U41" s="15">
        <f>+ROUND(B$3*EXP(K41),6)</f>
        <v>7.5902180000000001</v>
      </c>
      <c r="V41" s="15">
        <f>+ROUND(C$3*EXP(L41),6)</f>
        <v>9.4100599999999996</v>
      </c>
      <c r="W41" s="15">
        <f>+ROUND(D$3*EXP(M41),6)</f>
        <v>2.900353</v>
      </c>
      <c r="X41" s="15">
        <f>+ROUND(E$3*EXP(N41),6)</f>
        <v>1.139912</v>
      </c>
      <c r="Y41" s="15">
        <f>+ROUND(F$3*EXP(O41),6)</f>
        <v>5.0460200000000004</v>
      </c>
      <c r="Z41" s="15">
        <f>+ROUND(G$3*EXP(P41),6)</f>
        <v>4.3985750000000001</v>
      </c>
      <c r="AA41" s="15">
        <f>+ROUND(H$3*EXP(Q41),6)</f>
        <v>3.3898220000000001</v>
      </c>
      <c r="AB41" s="1">
        <v>39</v>
      </c>
      <c r="AC41" s="5" t="s">
        <v>40</v>
      </c>
      <c r="AD41" s="16">
        <f>+ROUND(Pozisyon!$U$4*('Data - Simülasyon- P&amp;L'!U41-'Data - Simülasyon- P&amp;L'!B$3),6)</f>
        <v>-1408.6079999999999</v>
      </c>
      <c r="AE41" s="16">
        <f>+ROUND(Pozisyon!$U$5*('Data - Simülasyon- P&amp;L'!V41-'Data - Simülasyon- P&amp;L'!C$3),6)</f>
        <v>1501.5</v>
      </c>
      <c r="AF41" s="16">
        <f>+ROUND(Pozisyon!$U$6*('Data - Simülasyon- P&amp;L'!W41-'Data - Simülasyon- P&amp;L'!D$3),6)</f>
        <v>2444.1187500000001</v>
      </c>
      <c r="AG41" s="16">
        <f>+ROUND(Pozisyon!$U$7*('Data - Simülasyon- P&amp;L'!X41-'Data - Simülasyon- P&amp;L'!E$3),6)</f>
        <v>-3561.0639999999999</v>
      </c>
      <c r="AH41" s="16">
        <f>+ROUND(Pozisyon!$U$8*('Data - Simülasyon- P&amp;L'!Y41-'Data - Simülasyon- P&amp;L'!F$3),6)</f>
        <v>14128.28</v>
      </c>
      <c r="AI41" s="16">
        <f>+ROUND(Pozisyon!$U$9*('Data - Simülasyon- P&amp;L'!Z41-'Data - Simülasyon- P&amp;L'!G$3),6)</f>
        <v>20641.075000000001</v>
      </c>
      <c r="AJ41" s="16">
        <f>+ROUND(Pozisyon!$U$10*('Data - Simülasyon- P&amp;L'!AA41-'Data - Simülasyon- P&amp;L'!H$3),6)</f>
        <v>-10592.477999999999</v>
      </c>
      <c r="AK41" s="16">
        <f>+SUM(AD41:AJ41)</f>
        <v>23152.82375</v>
      </c>
      <c r="AL41" s="16">
        <f>+SMALL($AK$3:$AK$254,AB41)</f>
        <v>-65782.388749999998</v>
      </c>
    </row>
    <row r="42" spans="1:38" ht="15" thickBot="1" x14ac:dyDescent="0.35">
      <c r="A42" s="5" t="s">
        <v>323</v>
      </c>
      <c r="B42" s="6">
        <v>7.77</v>
      </c>
      <c r="C42" s="5">
        <v>9.34</v>
      </c>
      <c r="D42" s="6">
        <v>5.95</v>
      </c>
      <c r="E42" s="5">
        <v>1.1399999999999999</v>
      </c>
      <c r="F42" s="5">
        <v>5.28</v>
      </c>
      <c r="G42" s="5">
        <v>4.42</v>
      </c>
      <c r="H42" s="5">
        <v>3.4</v>
      </c>
      <c r="J42" s="5" t="s">
        <v>323</v>
      </c>
      <c r="K42" s="11">
        <f>+ROUND(LN(B42/B43),6)</f>
        <v>0</v>
      </c>
      <c r="L42" s="11">
        <f>+ROUND(LN(C42/C43),6)</f>
        <v>2.1440000000000001E-3</v>
      </c>
      <c r="M42" s="11">
        <f>+ROUND(LN(D42/D43),6)</f>
        <v>0</v>
      </c>
      <c r="N42" s="11">
        <f>+ROUND(LN(E42/E43),6)</f>
        <v>0</v>
      </c>
      <c r="O42" s="11">
        <f>+ROUND(LN(F42/F43),6)</f>
        <v>-3.7810000000000001E-3</v>
      </c>
      <c r="P42" s="11">
        <f>+ROUND(LN(G42/G43),6)</f>
        <v>6.8100000000000001E-3</v>
      </c>
      <c r="Q42" s="11">
        <f>+ROUND(LN(H42/H43),6)</f>
        <v>8.8629999999999994E-3</v>
      </c>
      <c r="R42" s="3"/>
      <c r="T42" s="5" t="s">
        <v>41</v>
      </c>
      <c r="U42" s="15">
        <f>+ROUND(B$3*EXP(K42),6)</f>
        <v>7.6</v>
      </c>
      <c r="V42" s="15">
        <f>+ROUND(C$3*EXP(L42),6)</f>
        <v>9.3700679999999998</v>
      </c>
      <c r="W42" s="15">
        <f>+ROUND(D$3*EXP(M42),6)</f>
        <v>2.77</v>
      </c>
      <c r="X42" s="15">
        <f>+ROUND(E$3*EXP(N42),6)</f>
        <v>1.1499999999999999</v>
      </c>
      <c r="Y42" s="15">
        <f>+ROUND(F$3*EXP(O42),6)</f>
        <v>4.9612059999999998</v>
      </c>
      <c r="Z42" s="15">
        <f>+ROUND(G$3*EXP(P42),6)</f>
        <v>4.3595879999999996</v>
      </c>
      <c r="AA42" s="15">
        <f>+ROUND(H$3*EXP(Q42),6)</f>
        <v>3.4504459999999999</v>
      </c>
      <c r="AB42" s="1">
        <v>40</v>
      </c>
      <c r="AC42" s="5" t="s">
        <v>41</v>
      </c>
      <c r="AD42" s="16">
        <f>+ROUND(Pozisyon!$U$4*('Data - Simülasyon- P&amp;L'!U42-'Data - Simülasyon- P&amp;L'!B$3),6)</f>
        <v>0</v>
      </c>
      <c r="AE42" s="16">
        <f>+ROUND(Pozisyon!$U$5*('Data - Simülasyon- P&amp;L'!V42-'Data - Simülasyon- P&amp;L'!C$3),6)</f>
        <v>501.7</v>
      </c>
      <c r="AF42" s="16">
        <f>+ROUND(Pozisyon!$U$6*('Data - Simülasyon- P&amp;L'!W42-'Data - Simülasyon- P&amp;L'!D$3),6)</f>
        <v>0</v>
      </c>
      <c r="AG42" s="16">
        <f>+ROUND(Pozisyon!$U$7*('Data - Simülasyon- P&amp;L'!X42-'Data - Simülasyon- P&amp;L'!E$3),6)</f>
        <v>0</v>
      </c>
      <c r="AH42" s="16">
        <f>+ROUND(Pozisyon!$U$8*('Data - Simülasyon- P&amp;L'!Y42-'Data - Simülasyon- P&amp;L'!F$3),6)</f>
        <v>-4021.9160000000002</v>
      </c>
      <c r="AI42" s="16">
        <f>+ROUND(Pozisyon!$U$9*('Data - Simülasyon- P&amp;L'!Z42-'Data - Simülasyon- P&amp;L'!G$3),6)</f>
        <v>8905.9879999999994</v>
      </c>
      <c r="AJ42" s="16">
        <f>+ROUND(Pozisyon!$U$10*('Data - Simülasyon- P&amp;L'!AA42-'Data - Simülasyon- P&amp;L'!H$3),6)</f>
        <v>10686.546</v>
      </c>
      <c r="AK42" s="16">
        <f>+SUM(AD42:AJ42)</f>
        <v>16072.317999999999</v>
      </c>
      <c r="AL42" s="16">
        <f>+SMALL($AK$3:$AK$254,AB42)</f>
        <v>-65266.27</v>
      </c>
    </row>
    <row r="43" spans="1:38" ht="15" thickBot="1" x14ac:dyDescent="0.35">
      <c r="A43" s="5" t="s">
        <v>324</v>
      </c>
      <c r="B43" s="6">
        <v>7.77</v>
      </c>
      <c r="C43" s="5">
        <v>9.32</v>
      </c>
      <c r="D43" s="6">
        <v>5.95</v>
      </c>
      <c r="E43" s="5">
        <v>1.1399999999999999</v>
      </c>
      <c r="F43" s="5">
        <v>5.3</v>
      </c>
      <c r="G43" s="5">
        <v>4.3899999999999997</v>
      </c>
      <c r="H43" s="5">
        <v>3.37</v>
      </c>
      <c r="J43" s="5" t="s">
        <v>324</v>
      </c>
      <c r="K43" s="11">
        <f>+ROUND(LN(B43/B44),6)</f>
        <v>1.4258E-2</v>
      </c>
      <c r="L43" s="11">
        <f>+ROUND(LN(C43/C44),6)</f>
        <v>3.1609999999999999E-2</v>
      </c>
      <c r="M43" s="11">
        <f>+ROUND(LN(D43/D44),6)</f>
        <v>-6.7000000000000002E-3</v>
      </c>
      <c r="N43" s="11">
        <f>+ROUND(LN(E43/E44),6)</f>
        <v>1.77E-2</v>
      </c>
      <c r="O43" s="11">
        <f>+ROUND(LN(F43/F44),6)</f>
        <v>4.2396000000000003E-2</v>
      </c>
      <c r="P43" s="11">
        <f>+ROUND(LN(G43/G44),6)</f>
        <v>3.4765999999999998E-2</v>
      </c>
      <c r="Q43" s="11">
        <f>+ROUND(LN(H43/H44),6)</f>
        <v>1.4947999999999999E-2</v>
      </c>
      <c r="R43" s="3"/>
      <c r="T43" s="5" t="s">
        <v>42</v>
      </c>
      <c r="U43" s="15">
        <f>+ROUND(B$3*EXP(K43),6)</f>
        <v>7.7091370000000001</v>
      </c>
      <c r="V43" s="15">
        <f>+ROUND(C$3*EXP(L43),6)</f>
        <v>9.6502739999999996</v>
      </c>
      <c r="W43" s="15">
        <f>+ROUND(D$3*EXP(M43),6)</f>
        <v>2.751503</v>
      </c>
      <c r="X43" s="15">
        <f>+ROUND(E$3*EXP(N43),6)</f>
        <v>1.170536</v>
      </c>
      <c r="Y43" s="15">
        <f>+ROUND(F$3*EXP(O43),6)</f>
        <v>5.1956720000000001</v>
      </c>
      <c r="Z43" s="15">
        <f>+ROUND(G$3*EXP(P43),6)</f>
        <v>4.4831839999999996</v>
      </c>
      <c r="AA43" s="15">
        <f>+ROUND(H$3*EXP(Q43),6)</f>
        <v>3.4715060000000002</v>
      </c>
      <c r="AB43" s="1">
        <v>41</v>
      </c>
      <c r="AC43" s="5" t="s">
        <v>42</v>
      </c>
      <c r="AD43" s="16">
        <f>+ROUND(Pozisyon!$U$4*('Data - Simülasyon- P&amp;L'!U43-'Data - Simülasyon- P&amp;L'!B$3),6)</f>
        <v>15715.727999999999</v>
      </c>
      <c r="AE43" s="16">
        <f>+ROUND(Pozisyon!$U$5*('Data - Simülasyon- P&amp;L'!V43-'Data - Simülasyon- P&amp;L'!C$3),6)</f>
        <v>7506.85</v>
      </c>
      <c r="AF43" s="16">
        <f>+ROUND(Pozisyon!$U$6*('Data - Simülasyon- P&amp;L'!W43-'Data - Simülasyon- P&amp;L'!D$3),6)</f>
        <v>-346.81875000000002</v>
      </c>
      <c r="AG43" s="16">
        <f>+ROUND(Pozisyon!$U$7*('Data - Simülasyon- P&amp;L'!X43-'Data - Simülasyon- P&amp;L'!E$3),6)</f>
        <v>7249.2079999999996</v>
      </c>
      <c r="AH43" s="16">
        <f>+ROUND(Pozisyon!$U$8*('Data - Simülasyon- P&amp;L'!Y43-'Data - Simülasyon- P&amp;L'!F$3),6)</f>
        <v>46153.807999999997</v>
      </c>
      <c r="AI43" s="16">
        <f>+ROUND(Pozisyon!$U$9*('Data - Simülasyon- P&amp;L'!Z43-'Data - Simülasyon- P&amp;L'!G$3),6)</f>
        <v>46108.383999999998</v>
      </c>
      <c r="AJ43" s="16">
        <f>+ROUND(Pozisyon!$U$10*('Data - Simülasyon- P&amp;L'!AA43-'Data - Simülasyon- P&amp;L'!H$3),6)</f>
        <v>18078.606</v>
      </c>
      <c r="AK43" s="16">
        <f>+SUM(AD43:AJ43)</f>
        <v>140465.76525</v>
      </c>
      <c r="AL43" s="16">
        <f>+SMALL($AK$3:$AK$254,AB43)</f>
        <v>-65162.396000000001</v>
      </c>
    </row>
    <row r="44" spans="1:38" ht="15" thickBot="1" x14ac:dyDescent="0.35">
      <c r="A44" s="5" t="s">
        <v>325</v>
      </c>
      <c r="B44" s="6">
        <v>7.66</v>
      </c>
      <c r="C44" s="5">
        <v>9.0299999999999994</v>
      </c>
      <c r="D44" s="6">
        <v>5.99</v>
      </c>
      <c r="E44" s="5">
        <v>1.1200000000000001</v>
      </c>
      <c r="F44" s="5">
        <v>5.08</v>
      </c>
      <c r="G44" s="5">
        <v>4.24</v>
      </c>
      <c r="H44" s="5">
        <v>3.32</v>
      </c>
      <c r="J44" s="5" t="s">
        <v>325</v>
      </c>
      <c r="K44" s="11">
        <f>+ROUND(LN(B44/B45),6)</f>
        <v>-4.9660000000000003E-2</v>
      </c>
      <c r="L44" s="11">
        <f>+ROUND(LN(C44/C45),6)</f>
        <v>-3.9093000000000003E-2</v>
      </c>
      <c r="M44" s="11">
        <f>+ROUND(LN(D44/D45),6)</f>
        <v>-2.6360999999999999E-2</v>
      </c>
      <c r="N44" s="11">
        <f>+ROUND(LN(E44/E45),6)</f>
        <v>-8.5522000000000001E-2</v>
      </c>
      <c r="O44" s="11">
        <f>+ROUND(LN(F44/F45),6)</f>
        <v>-4.9914E-2</v>
      </c>
      <c r="P44" s="11">
        <f>+ROUND(LN(G44/G45),6)</f>
        <v>-4.1576000000000002E-2</v>
      </c>
      <c r="Q44" s="11">
        <f>+ROUND(LN(H44/H45),6)</f>
        <v>-4.419E-2</v>
      </c>
      <c r="R44" s="3"/>
      <c r="T44" s="5" t="s">
        <v>43</v>
      </c>
      <c r="U44" s="15">
        <f>+ROUND(B$3*EXP(K44),6)</f>
        <v>7.2318020000000001</v>
      </c>
      <c r="V44" s="15">
        <f>+ROUND(C$3*EXP(L44),6)</f>
        <v>8.9915330000000004</v>
      </c>
      <c r="W44" s="15">
        <f>+ROUND(D$3*EXP(M44),6)</f>
        <v>2.6979340000000001</v>
      </c>
      <c r="X44" s="15">
        <f>+ROUND(E$3*EXP(N44),6)</f>
        <v>1.0557380000000001</v>
      </c>
      <c r="Y44" s="15">
        <f>+ROUND(F$3*EXP(O44),6)</f>
        <v>4.7375299999999996</v>
      </c>
      <c r="Z44" s="15">
        <f>+ROUND(G$3*EXP(P44),6)</f>
        <v>4.1536670000000004</v>
      </c>
      <c r="AA44" s="15">
        <f>+ROUND(H$3*EXP(Q44),6)</f>
        <v>3.2721610000000001</v>
      </c>
      <c r="AB44" s="1">
        <v>42</v>
      </c>
      <c r="AC44" s="5" t="s">
        <v>43</v>
      </c>
      <c r="AD44" s="16">
        <f>+ROUND(Pozisyon!$U$4*('Data - Simülasyon- P&amp;L'!U44-'Data - Simülasyon- P&amp;L'!B$3),6)</f>
        <v>-53020.512000000002</v>
      </c>
      <c r="AE44" s="16">
        <f>+ROUND(Pozisyon!$U$5*('Data - Simülasyon- P&amp;L'!V44-'Data - Simülasyon- P&amp;L'!C$3),6)</f>
        <v>-8961.6749999999993</v>
      </c>
      <c r="AF44" s="16">
        <f>+ROUND(Pozisyon!$U$6*('Data - Simülasyon- P&amp;L'!W44-'Data - Simülasyon- P&amp;L'!D$3),6)</f>
        <v>-1351.2375</v>
      </c>
      <c r="AG44" s="16">
        <f>+ROUND(Pozisyon!$U$7*('Data - Simülasyon- P&amp;L'!X44-'Data - Simülasyon- P&amp;L'!E$3),6)</f>
        <v>-33274.485999999997</v>
      </c>
      <c r="AH44" s="16">
        <f>+ROUND(Pozisyon!$U$8*('Data - Simülasyon- P&amp;L'!Y44-'Data - Simülasyon- P&amp;L'!F$3),6)</f>
        <v>-51888.58</v>
      </c>
      <c r="AI44" s="16">
        <f>+ROUND(Pozisyon!$U$9*('Data - Simülasyon- P&amp;L'!Z44-'Data - Simülasyon- P&amp;L'!G$3),6)</f>
        <v>-53076.233</v>
      </c>
      <c r="AJ44" s="16">
        <f>+ROUND(Pozisyon!$U$10*('Data - Simülasyon- P&amp;L'!AA44-'Data - Simülasyon- P&amp;L'!H$3),6)</f>
        <v>-51891.489000000001</v>
      </c>
      <c r="AK44" s="16">
        <f>+SUM(AD44:AJ44)</f>
        <v>-253464.21250000002</v>
      </c>
      <c r="AL44" s="16">
        <f>+SMALL($AK$3:$AK$254,AB44)</f>
        <v>-64919.443750000006</v>
      </c>
    </row>
    <row r="45" spans="1:38" ht="15" thickBot="1" x14ac:dyDescent="0.35">
      <c r="A45" s="5" t="s">
        <v>326</v>
      </c>
      <c r="B45" s="6">
        <v>8.0500000000000007</v>
      </c>
      <c r="C45" s="5">
        <v>9.39</v>
      </c>
      <c r="D45" s="6">
        <v>6.15</v>
      </c>
      <c r="E45" s="5">
        <v>1.22</v>
      </c>
      <c r="F45" s="5">
        <v>5.34</v>
      </c>
      <c r="G45" s="5">
        <v>4.42</v>
      </c>
      <c r="H45" s="5">
        <v>3.47</v>
      </c>
      <c r="J45" s="5" t="s">
        <v>326</v>
      </c>
      <c r="K45" s="11">
        <f>+ROUND(LN(B45/B46),6)</f>
        <v>-1.1117999999999999E-2</v>
      </c>
      <c r="L45" s="11">
        <f>+ROUND(LN(C45/C46),6)</f>
        <v>7.4830000000000001E-3</v>
      </c>
      <c r="M45" s="11">
        <f>+ROUND(LN(D45/D46),6)</f>
        <v>-6.483E-3</v>
      </c>
      <c r="N45" s="11">
        <f>+ROUND(LN(E45/E46),6)</f>
        <v>-8.1630000000000001E-3</v>
      </c>
      <c r="O45" s="11">
        <f>+ROUND(LN(F45/F46),6)</f>
        <v>-1.1173000000000001E-2</v>
      </c>
      <c r="P45" s="11">
        <f>+ROUND(LN(G45/G46),6)</f>
        <v>-9.0089999999999996E-3</v>
      </c>
      <c r="Q45" s="11">
        <f>+ROUND(LN(H45/H46),6)</f>
        <v>-3.9552999999999998E-2</v>
      </c>
      <c r="R45" s="3"/>
      <c r="T45" s="5" t="s">
        <v>44</v>
      </c>
      <c r="U45" s="15">
        <f>+ROUND(B$3*EXP(K45),6)</f>
        <v>7.5159710000000004</v>
      </c>
      <c r="V45" s="15">
        <f>+ROUND(C$3*EXP(L45),6)</f>
        <v>9.4202279999999998</v>
      </c>
      <c r="W45" s="15">
        <f>+ROUND(D$3*EXP(M45),6)</f>
        <v>2.7521</v>
      </c>
      <c r="X45" s="15">
        <f>+ROUND(E$3*EXP(N45),6)</f>
        <v>1.1406510000000001</v>
      </c>
      <c r="Y45" s="15">
        <f>+ROUND(F$3*EXP(O45),6)</f>
        <v>4.9246679999999996</v>
      </c>
      <c r="Z45" s="15">
        <f>+ROUND(G$3*EXP(P45),6)</f>
        <v>4.2911659999999996</v>
      </c>
      <c r="AA45" s="15">
        <f>+ROUND(H$3*EXP(Q45),6)</f>
        <v>3.287369</v>
      </c>
      <c r="AB45" s="1">
        <v>43</v>
      </c>
      <c r="AC45" s="5" t="s">
        <v>44</v>
      </c>
      <c r="AD45" s="16">
        <f>+ROUND(Pozisyon!$U$4*('Data - Simülasyon- P&amp;L'!U45-'Data - Simülasyon- P&amp;L'!B$3),6)</f>
        <v>-12100.175999999999</v>
      </c>
      <c r="AE45" s="16">
        <f>+ROUND(Pozisyon!$U$5*('Data - Simülasyon- P&amp;L'!V45-'Data - Simülasyon- P&amp;L'!C$3),6)</f>
        <v>1755.7</v>
      </c>
      <c r="AF45" s="16">
        <f>+ROUND(Pozisyon!$U$6*('Data - Simülasyon- P&amp;L'!W45-'Data - Simülasyon- P&amp;L'!D$3),6)</f>
        <v>-335.625</v>
      </c>
      <c r="AG45" s="16">
        <f>+ROUND(Pozisyon!$U$7*('Data - Simülasyon- P&amp;L'!X45-'Data - Simülasyon- P&amp;L'!E$3),6)</f>
        <v>-3300.1970000000001</v>
      </c>
      <c r="AH45" s="16">
        <f>+ROUND(Pozisyon!$U$8*('Data - Simülasyon- P&amp;L'!Y45-'Data - Simülasyon- P&amp;L'!F$3),6)</f>
        <v>-11841.048000000001</v>
      </c>
      <c r="AI45" s="16">
        <f>+ROUND(Pozisyon!$U$9*('Data - Simülasyon- P&amp;L'!Z45-'Data - Simülasyon- P&amp;L'!G$3),6)</f>
        <v>-11689.034</v>
      </c>
      <c r="AJ45" s="16">
        <f>+ROUND(Pozisyon!$U$10*('Data - Simülasyon- P&amp;L'!AA45-'Data - Simülasyon- P&amp;L'!H$3),6)</f>
        <v>-46553.481</v>
      </c>
      <c r="AK45" s="16">
        <f>+SUM(AD45:AJ45)</f>
        <v>-84063.861000000004</v>
      </c>
      <c r="AL45" s="16">
        <f>+SMALL($AK$3:$AK$254,AB45)</f>
        <v>-64616.547250000003</v>
      </c>
    </row>
    <row r="46" spans="1:38" ht="15" thickBot="1" x14ac:dyDescent="0.35">
      <c r="A46" s="5" t="s">
        <v>327</v>
      </c>
      <c r="B46" s="6">
        <v>8.14</v>
      </c>
      <c r="C46" s="5">
        <v>9.32</v>
      </c>
      <c r="D46" s="6">
        <v>6.19</v>
      </c>
      <c r="E46" s="5">
        <v>1.23</v>
      </c>
      <c r="F46" s="5">
        <v>5.4</v>
      </c>
      <c r="G46" s="5">
        <v>4.46</v>
      </c>
      <c r="H46" s="5">
        <v>3.61</v>
      </c>
      <c r="J46" s="5" t="s">
        <v>327</v>
      </c>
      <c r="K46" s="11">
        <f>+ROUND(LN(B46/B47),6)</f>
        <v>-1.221E-2</v>
      </c>
      <c r="L46" s="11">
        <f>+ROUND(LN(C46/C47),6)</f>
        <v>2.1480000000000002E-3</v>
      </c>
      <c r="M46" s="11">
        <f>+ROUND(LN(D46/D47),6)</f>
        <v>-1.614E-3</v>
      </c>
      <c r="N46" s="11">
        <f>+ROUND(LN(E46/E47),6)</f>
        <v>0</v>
      </c>
      <c r="O46" s="11">
        <f>+ROUND(LN(F46/F47),6)</f>
        <v>5.5710000000000004E-3</v>
      </c>
      <c r="P46" s="11">
        <f>+ROUND(LN(G46/G47),6)</f>
        <v>0</v>
      </c>
      <c r="Q46" s="11">
        <f>+ROUND(LN(H46/H47),6)</f>
        <v>-1.3755E-2</v>
      </c>
      <c r="R46" s="3"/>
      <c r="T46" s="5" t="s">
        <v>45</v>
      </c>
      <c r="U46" s="15">
        <f>+ROUND(B$3*EXP(K46),6)</f>
        <v>7.5077680000000004</v>
      </c>
      <c r="V46" s="15">
        <f>+ROUND(C$3*EXP(L46),6)</f>
        <v>9.3701050000000006</v>
      </c>
      <c r="W46" s="15">
        <f>+ROUND(D$3*EXP(M46),6)</f>
        <v>2.765533</v>
      </c>
      <c r="X46" s="15">
        <f>+ROUND(E$3*EXP(N46),6)</f>
        <v>1.1499999999999999</v>
      </c>
      <c r="Y46" s="15">
        <f>+ROUND(F$3*EXP(O46),6)</f>
        <v>5.0078209999999999</v>
      </c>
      <c r="Z46" s="15">
        <f>+ROUND(G$3*EXP(P46),6)</f>
        <v>4.33</v>
      </c>
      <c r="AA46" s="15">
        <f>+ROUND(H$3*EXP(Q46),6)</f>
        <v>3.3732799999999998</v>
      </c>
      <c r="AB46" s="1">
        <v>44</v>
      </c>
      <c r="AC46" s="5" t="s">
        <v>45</v>
      </c>
      <c r="AD46" s="16">
        <f>+ROUND(Pozisyon!$U$4*('Data - Simülasyon- P&amp;L'!U46-'Data - Simülasyon- P&amp;L'!B$3),6)</f>
        <v>-13281.407999999999</v>
      </c>
      <c r="AE46" s="16">
        <f>+ROUND(Pozisyon!$U$5*('Data - Simülasyon- P&amp;L'!V46-'Data - Simülasyon- P&amp;L'!C$3),6)</f>
        <v>502.625</v>
      </c>
      <c r="AF46" s="16">
        <f>+ROUND(Pozisyon!$U$6*('Data - Simülasyon- P&amp;L'!W46-'Data - Simülasyon- P&amp;L'!D$3),6)</f>
        <v>-83.756249999999994</v>
      </c>
      <c r="AG46" s="16">
        <f>+ROUND(Pozisyon!$U$7*('Data - Simülasyon- P&amp;L'!X46-'Data - Simülasyon- P&amp;L'!E$3),6)</f>
        <v>0</v>
      </c>
      <c r="AH46" s="16">
        <f>+ROUND(Pozisyon!$U$8*('Data - Simülasyon- P&amp;L'!Y46-'Data - Simülasyon- P&amp;L'!F$3),6)</f>
        <v>5953.6940000000004</v>
      </c>
      <c r="AI46" s="16">
        <f>+ROUND(Pozisyon!$U$9*('Data - Simülasyon- P&amp;L'!Z46-'Data - Simülasyon- P&amp;L'!G$3),6)</f>
        <v>0</v>
      </c>
      <c r="AJ46" s="16">
        <f>+ROUND(Pozisyon!$U$10*('Data - Simülasyon- P&amp;L'!AA46-'Data - Simülasyon- P&amp;L'!H$3),6)</f>
        <v>-16398.72</v>
      </c>
      <c r="AK46" s="16">
        <f>+SUM(AD46:AJ46)</f>
        <v>-23307.56525</v>
      </c>
      <c r="AL46" s="16">
        <f>+SMALL($AK$3:$AK$254,AB46)</f>
        <v>-63671.456249999996</v>
      </c>
    </row>
    <row r="47" spans="1:38" ht="15" thickBot="1" x14ac:dyDescent="0.35">
      <c r="A47" s="5" t="s">
        <v>328</v>
      </c>
      <c r="B47" s="6">
        <v>8.24</v>
      </c>
      <c r="C47" s="5">
        <v>9.3000000000000007</v>
      </c>
      <c r="D47" s="6">
        <v>6.2</v>
      </c>
      <c r="E47" s="5">
        <v>1.23</v>
      </c>
      <c r="F47" s="5">
        <v>5.37</v>
      </c>
      <c r="G47" s="5">
        <v>4.46</v>
      </c>
      <c r="H47" s="5">
        <v>3.66</v>
      </c>
      <c r="J47" s="5" t="s">
        <v>328</v>
      </c>
      <c r="K47" s="11">
        <f>+ROUND(LN(B47/B48),6)</f>
        <v>-2.0421000000000002E-2</v>
      </c>
      <c r="L47" s="11">
        <f>+ROUND(LN(C47/C48),6)</f>
        <v>-1.0695E-2</v>
      </c>
      <c r="M47" s="11">
        <f>+ROUND(LN(D47/D48),6)</f>
        <v>-2.3906E-2</v>
      </c>
      <c r="N47" s="11">
        <f>+ROUND(LN(E47/E48),6)</f>
        <v>-2.4098000000000001E-2</v>
      </c>
      <c r="O47" s="11">
        <f>+ROUND(LN(F47/F48),6)</f>
        <v>-1.2951000000000001E-2</v>
      </c>
      <c r="P47" s="11">
        <f>+ROUND(LN(G47/G48),6)</f>
        <v>-2.6550000000000001E-2</v>
      </c>
      <c r="Q47" s="11">
        <f>+ROUND(LN(H47/H48),6)</f>
        <v>-1.0869999999999999E-2</v>
      </c>
      <c r="R47" s="3"/>
      <c r="T47" s="5" t="s">
        <v>46</v>
      </c>
      <c r="U47" s="15">
        <f>+ROUND(B$3*EXP(K47),6)</f>
        <v>7.4463739999999996</v>
      </c>
      <c r="V47" s="15">
        <f>+ROUND(C$3*EXP(L47),6)</f>
        <v>9.2505349999999993</v>
      </c>
      <c r="W47" s="15">
        <f>+ROUND(D$3*EXP(M47),6)</f>
        <v>2.7045659999999998</v>
      </c>
      <c r="X47" s="15">
        <f>+ROUND(E$3*EXP(N47),6)</f>
        <v>1.122619</v>
      </c>
      <c r="Y47" s="15">
        <f>+ROUND(F$3*EXP(O47),6)</f>
        <v>4.9159199999999998</v>
      </c>
      <c r="Z47" s="15">
        <f>+ROUND(G$3*EXP(P47),6)</f>
        <v>4.2165509999999999</v>
      </c>
      <c r="AA47" s="15">
        <f>+ROUND(H$3*EXP(Q47),6)</f>
        <v>3.3830260000000001</v>
      </c>
      <c r="AB47" s="1">
        <v>45</v>
      </c>
      <c r="AC47" s="5" t="s">
        <v>46</v>
      </c>
      <c r="AD47" s="16">
        <f>+ROUND(Pozisyon!$U$4*('Data - Simülasyon- P&amp;L'!U47-'Data - Simülasyon- P&amp;L'!B$3),6)</f>
        <v>-22122.144</v>
      </c>
      <c r="AE47" s="16">
        <f>+ROUND(Pozisyon!$U$5*('Data - Simülasyon- P&amp;L'!V47-'Data - Simülasyon- P&amp;L'!C$3),6)</f>
        <v>-2486.625</v>
      </c>
      <c r="AF47" s="16">
        <f>+ROUND(Pozisyon!$U$6*('Data - Simülasyon- P&amp;L'!W47-'Data - Simülasyon- P&amp;L'!D$3),6)</f>
        <v>-1226.8875</v>
      </c>
      <c r="AG47" s="16">
        <f>+ROUND(Pozisyon!$U$7*('Data - Simülasyon- P&amp;L'!X47-'Data - Simülasyon- P&amp;L'!E$3),6)</f>
        <v>-9665.4930000000004</v>
      </c>
      <c r="AH47" s="16">
        <f>+ROUND(Pozisyon!$U$8*('Data - Simülasyon- P&amp;L'!Y47-'Data - Simülasyon- P&amp;L'!F$3),6)</f>
        <v>-13713.12</v>
      </c>
      <c r="AI47" s="16">
        <f>+ROUND(Pozisyon!$U$9*('Data - Simülasyon- P&amp;L'!Z47-'Data - Simülasyon- P&amp;L'!G$3),6)</f>
        <v>-34148.148999999998</v>
      </c>
      <c r="AJ47" s="16">
        <f>+ROUND(Pozisyon!$U$10*('Data - Simülasyon- P&amp;L'!AA47-'Data - Simülasyon- P&amp;L'!H$3),6)</f>
        <v>-12977.874</v>
      </c>
      <c r="AK47" s="16">
        <f>+SUM(AD47:AJ47)</f>
        <v>-96340.292499999996</v>
      </c>
      <c r="AL47" s="16">
        <f>+SMALL($AK$3:$AK$254,AB47)</f>
        <v>-63462.558249999995</v>
      </c>
    </row>
    <row r="48" spans="1:38" ht="15" thickBot="1" x14ac:dyDescent="0.35">
      <c r="A48" s="5" t="s">
        <v>329</v>
      </c>
      <c r="B48" s="6">
        <v>8.41</v>
      </c>
      <c r="C48" s="5">
        <v>9.4</v>
      </c>
      <c r="D48" s="6">
        <v>6.35</v>
      </c>
      <c r="E48" s="5">
        <v>1.26</v>
      </c>
      <c r="F48" s="5">
        <v>5.44</v>
      </c>
      <c r="G48" s="5">
        <v>4.58</v>
      </c>
      <c r="H48" s="5">
        <v>3.7</v>
      </c>
      <c r="J48" s="5" t="s">
        <v>329</v>
      </c>
      <c r="K48" s="11">
        <f>+ROUND(LN(B48/B49),6)</f>
        <v>1.5579000000000001E-2</v>
      </c>
      <c r="L48" s="11">
        <f>+ROUND(LN(C48/C49),6)</f>
        <v>1.9335000000000001E-2</v>
      </c>
      <c r="M48" s="11">
        <f>+ROUND(LN(D48/D49),6)</f>
        <v>4.8397000000000003E-2</v>
      </c>
      <c r="N48" s="11">
        <f>+ROUND(LN(E48/E49),6)</f>
        <v>7.9679999999999994E-3</v>
      </c>
      <c r="O48" s="11">
        <f>+ROUND(LN(F48/F49),6)</f>
        <v>-5.4999999999999997E-3</v>
      </c>
      <c r="P48" s="11">
        <f>+ROUND(LN(G48/G49),6)</f>
        <v>6.5719999999999997E-3</v>
      </c>
      <c r="Q48" s="11">
        <f>+ROUND(LN(H48/H49),6)</f>
        <v>0</v>
      </c>
      <c r="R48" s="3"/>
      <c r="T48" s="5" t="s">
        <v>47</v>
      </c>
      <c r="U48" s="15">
        <f>+ROUND(B$3*EXP(K48),6)</f>
        <v>7.7193269999999998</v>
      </c>
      <c r="V48" s="15">
        <f>+ROUND(C$3*EXP(L48),6)</f>
        <v>9.5325410000000002</v>
      </c>
      <c r="W48" s="15">
        <f>+ROUND(D$3*EXP(M48),6)</f>
        <v>2.9073570000000002</v>
      </c>
      <c r="X48" s="15">
        <f>+ROUND(E$3*EXP(N48),6)</f>
        <v>1.1592</v>
      </c>
      <c r="Y48" s="15">
        <f>+ROUND(F$3*EXP(O48),6)</f>
        <v>4.9526849999999998</v>
      </c>
      <c r="Z48" s="15">
        <f>+ROUND(G$3*EXP(P48),6)</f>
        <v>4.3585500000000001</v>
      </c>
      <c r="AA48" s="15">
        <f>+ROUND(H$3*EXP(Q48),6)</f>
        <v>3.42</v>
      </c>
      <c r="AB48" s="1">
        <v>46</v>
      </c>
      <c r="AC48" s="5" t="s">
        <v>47</v>
      </c>
      <c r="AD48" s="16">
        <f>+ROUND(Pozisyon!$U$4*('Data - Simülasyon- P&amp;L'!U48-'Data - Simülasyon- P&amp;L'!B$3),6)</f>
        <v>17183.088</v>
      </c>
      <c r="AE48" s="16">
        <f>+ROUND(Pozisyon!$U$5*('Data - Simülasyon- P&amp;L'!V48-'Data - Simülasyon- P&amp;L'!C$3),6)</f>
        <v>4563.5249999999996</v>
      </c>
      <c r="AF48" s="16">
        <f>+ROUND(Pozisyon!$U$6*('Data - Simülasyon- P&amp;L'!W48-'Data - Simülasyon- P&amp;L'!D$3),6)</f>
        <v>2575.4437499999999</v>
      </c>
      <c r="AG48" s="16">
        <f>+ROUND(Pozisyon!$U$7*('Data - Simülasyon- P&amp;L'!X48-'Data - Simülasyon- P&amp;L'!E$3),6)</f>
        <v>3247.6</v>
      </c>
      <c r="AH48" s="16">
        <f>+ROUND(Pozisyon!$U$8*('Data - Simülasyon- P&amp;L'!Y48-'Data - Simülasyon- P&amp;L'!F$3),6)</f>
        <v>-5845.41</v>
      </c>
      <c r="AI48" s="16">
        <f>+ROUND(Pozisyon!$U$9*('Data - Simülasyon- P&amp;L'!Z48-'Data - Simülasyon- P&amp;L'!G$3),6)</f>
        <v>8593.5499999999993</v>
      </c>
      <c r="AJ48" s="16">
        <f>+ROUND(Pozisyon!$U$10*('Data - Simülasyon- P&amp;L'!AA48-'Data - Simülasyon- P&amp;L'!H$3),6)</f>
        <v>0</v>
      </c>
      <c r="AK48" s="16">
        <f>+SUM(AD48:AJ48)</f>
        <v>30317.796749999994</v>
      </c>
      <c r="AL48" s="16">
        <f>+SMALL($AK$3:$AK$254,AB48)</f>
        <v>-60717.217000000004</v>
      </c>
    </row>
    <row r="49" spans="1:38" ht="15" thickBot="1" x14ac:dyDescent="0.35">
      <c r="A49" s="5" t="s">
        <v>330</v>
      </c>
      <c r="B49" s="6">
        <v>8.2799999999999994</v>
      </c>
      <c r="C49" s="5">
        <v>9.2200000000000006</v>
      </c>
      <c r="D49" s="6">
        <v>6.05</v>
      </c>
      <c r="E49" s="5">
        <v>1.25</v>
      </c>
      <c r="F49" s="5">
        <v>5.47</v>
      </c>
      <c r="G49" s="5">
        <v>4.55</v>
      </c>
      <c r="H49" s="5">
        <v>3.7</v>
      </c>
      <c r="J49" s="5" t="s">
        <v>330</v>
      </c>
      <c r="K49" s="11">
        <f>+ROUND(LN(B49/B50),6)</f>
        <v>-2.4130000000000002E-3</v>
      </c>
      <c r="L49" s="11">
        <f>+ROUND(LN(C49/C50),6)</f>
        <v>-7.5640000000000004E-3</v>
      </c>
      <c r="M49" s="11">
        <f>+ROUND(LN(D49/D50),6)</f>
        <v>-3.8903E-2</v>
      </c>
      <c r="N49" s="11">
        <f>+ROUND(LN(E49/E50),6)</f>
        <v>-1.5873000000000002E-2</v>
      </c>
      <c r="O49" s="11">
        <f>+ROUND(LN(F49/F50),6)</f>
        <v>-7.2859999999999999E-3</v>
      </c>
      <c r="P49" s="11">
        <f>+ROUND(LN(G49/G50),6)</f>
        <v>-1.3101E-2</v>
      </c>
      <c r="Q49" s="11">
        <f>+ROUND(LN(H49/H50),6)</f>
        <v>-8.0750000000000006E-3</v>
      </c>
      <c r="R49" s="3"/>
      <c r="T49" s="5" t="s">
        <v>48</v>
      </c>
      <c r="U49" s="15">
        <f>+ROUND(B$3*EXP(K49),6)</f>
        <v>7.581683</v>
      </c>
      <c r="V49" s="15">
        <f>+ROUND(C$3*EXP(L49),6)</f>
        <v>9.2795430000000003</v>
      </c>
      <c r="W49" s="15">
        <f>+ROUND(D$3*EXP(M49),6)</f>
        <v>2.6643080000000001</v>
      </c>
      <c r="X49" s="15">
        <f>+ROUND(E$3*EXP(N49),6)</f>
        <v>1.1318900000000001</v>
      </c>
      <c r="Y49" s="15">
        <f>+ROUND(F$3*EXP(O49),6)</f>
        <v>4.943848</v>
      </c>
      <c r="Z49" s="15">
        <f>+ROUND(G$3*EXP(P49),6)</f>
        <v>4.2736429999999999</v>
      </c>
      <c r="AA49" s="15">
        <f>+ROUND(H$3*EXP(Q49),6)</f>
        <v>3.3924949999999998</v>
      </c>
      <c r="AB49" s="1">
        <v>47</v>
      </c>
      <c r="AC49" s="5" t="s">
        <v>48</v>
      </c>
      <c r="AD49" s="16">
        <f>+ROUND(Pozisyon!$U$4*('Data - Simülasyon- P&amp;L'!U49-'Data - Simülasyon- P&amp;L'!B$3),6)</f>
        <v>-2637.6480000000001</v>
      </c>
      <c r="AE49" s="16">
        <f>+ROUND(Pozisyon!$U$5*('Data - Simülasyon- P&amp;L'!V49-'Data - Simülasyon- P&amp;L'!C$3),6)</f>
        <v>-1761.425</v>
      </c>
      <c r="AF49" s="16">
        <f>+ROUND(Pozisyon!$U$6*('Data - Simülasyon- P&amp;L'!W49-'Data - Simülasyon- P&amp;L'!D$3),6)</f>
        <v>-1981.7249999999999</v>
      </c>
      <c r="AG49" s="16">
        <f>+ROUND(Pozisyon!$U$7*('Data - Simülasyon- P&amp;L'!X49-'Data - Simülasyon- P&amp;L'!E$3),6)</f>
        <v>-6392.83</v>
      </c>
      <c r="AH49" s="16">
        <f>+ROUND(Pozisyon!$U$8*('Data - Simülasyon- P&amp;L'!Y49-'Data - Simülasyon- P&amp;L'!F$3),6)</f>
        <v>-7736.5280000000002</v>
      </c>
      <c r="AI49" s="16">
        <f>+ROUND(Pozisyon!$U$9*('Data - Simülasyon- P&amp;L'!Z49-'Data - Simülasyon- P&amp;L'!G$3),6)</f>
        <v>-16963.456999999999</v>
      </c>
      <c r="AJ49" s="16">
        <f>+ROUND(Pozisyon!$U$10*('Data - Simülasyon- P&amp;L'!AA49-'Data - Simülasyon- P&amp;L'!H$3),6)</f>
        <v>-9654.2549999999992</v>
      </c>
      <c r="AK49" s="16">
        <f>+SUM(AD49:AJ49)</f>
        <v>-47127.867999999995</v>
      </c>
      <c r="AL49" s="16">
        <f>+SMALL($AK$3:$AK$254,AB49)</f>
        <v>-60477.989000000001</v>
      </c>
    </row>
    <row r="50" spans="1:38" ht="15" thickBot="1" x14ac:dyDescent="0.35">
      <c r="A50" s="5" t="s">
        <v>331</v>
      </c>
      <c r="B50" s="6">
        <v>8.3000000000000007</v>
      </c>
      <c r="C50" s="5">
        <v>9.2899999999999991</v>
      </c>
      <c r="D50" s="6">
        <v>6.29</v>
      </c>
      <c r="E50" s="5">
        <v>1.27</v>
      </c>
      <c r="F50" s="5">
        <v>5.51</v>
      </c>
      <c r="G50" s="5">
        <v>4.6100000000000003</v>
      </c>
      <c r="H50" s="5">
        <v>3.73</v>
      </c>
      <c r="J50" s="5" t="s">
        <v>331</v>
      </c>
      <c r="K50" s="11">
        <f>+ROUND(LN(B50/B51),6)</f>
        <v>-1.0784999999999999E-2</v>
      </c>
      <c r="L50" s="11">
        <f>+ROUND(LN(C50/C51),6)</f>
        <v>-1.1771E-2</v>
      </c>
      <c r="M50" s="11">
        <f>+ROUND(LN(D50/D51),6)</f>
        <v>3.1849999999999999E-3</v>
      </c>
      <c r="N50" s="11">
        <f>+ROUND(LN(E50/E51),6)</f>
        <v>-7.8429999999999993E-3</v>
      </c>
      <c r="O50" s="11">
        <f>+ROUND(LN(F50/F51),6)</f>
        <v>-1.4415000000000001E-2</v>
      </c>
      <c r="P50" s="11">
        <f>+ROUND(LN(G50/G51),6)</f>
        <v>-8.6390000000000008E-3</v>
      </c>
      <c r="Q50" s="11">
        <f>+ROUND(LN(H50/H51),6)</f>
        <v>-5.3480000000000003E-3</v>
      </c>
      <c r="R50" s="3"/>
      <c r="T50" s="5" t="s">
        <v>49</v>
      </c>
      <c r="U50" s="15">
        <f>+ROUND(B$3*EXP(K50),6)</f>
        <v>7.5184740000000003</v>
      </c>
      <c r="V50" s="15">
        <f>+ROUND(C$3*EXP(L50),6)</f>
        <v>9.2405860000000004</v>
      </c>
      <c r="W50" s="15">
        <f>+ROUND(D$3*EXP(M50),6)</f>
        <v>2.7788369999999998</v>
      </c>
      <c r="X50" s="15">
        <f>+ROUND(E$3*EXP(N50),6)</f>
        <v>1.141016</v>
      </c>
      <c r="Y50" s="15">
        <f>+ROUND(F$3*EXP(O50),6)</f>
        <v>4.908728</v>
      </c>
      <c r="Z50" s="15">
        <f>+ROUND(G$3*EXP(P50),6)</f>
        <v>4.2927540000000004</v>
      </c>
      <c r="AA50" s="15">
        <f>+ROUND(H$3*EXP(Q50),6)</f>
        <v>3.4017590000000002</v>
      </c>
      <c r="AB50" s="1">
        <v>48</v>
      </c>
      <c r="AC50" s="5" t="s">
        <v>49</v>
      </c>
      <c r="AD50" s="16">
        <f>+ROUND(Pozisyon!$U$4*('Data - Simülasyon- P&amp;L'!U50-'Data - Simülasyon- P&amp;L'!B$3),6)</f>
        <v>-11739.744000000001</v>
      </c>
      <c r="AE50" s="16">
        <f>+ROUND(Pozisyon!$U$5*('Data - Simülasyon- P&amp;L'!V50-'Data - Simülasyon- P&amp;L'!C$3),6)</f>
        <v>-2735.35</v>
      </c>
      <c r="AF50" s="16">
        <f>+ROUND(Pozisyon!$U$6*('Data - Simülasyon- P&amp;L'!W50-'Data - Simülasyon- P&amp;L'!D$3),6)</f>
        <v>165.69374999999999</v>
      </c>
      <c r="AG50" s="16">
        <f>+ROUND(Pozisyon!$U$7*('Data - Simülasyon- P&amp;L'!X50-'Data - Simülasyon- P&amp;L'!E$3),6)</f>
        <v>-3171.3519999999999</v>
      </c>
      <c r="AH50" s="16">
        <f>+ROUND(Pozisyon!$U$8*('Data - Simülasyon- P&amp;L'!Y50-'Data - Simülasyon- P&amp;L'!F$3),6)</f>
        <v>-15252.208000000001</v>
      </c>
      <c r="AI50" s="16">
        <f>+ROUND(Pozisyon!$U$9*('Data - Simülasyon- P&amp;L'!Z50-'Data - Simülasyon- P&amp;L'!G$3),6)</f>
        <v>-11211.046</v>
      </c>
      <c r="AJ50" s="16">
        <f>+ROUND(Pozisyon!$U$10*('Data - Simülasyon- P&amp;L'!AA50-'Data - Simülasyon- P&amp;L'!H$3),6)</f>
        <v>-6402.5910000000003</v>
      </c>
      <c r="AK50" s="16">
        <f>+SUM(AD50:AJ50)</f>
        <v>-50346.597250000006</v>
      </c>
      <c r="AL50" s="16">
        <f>+SMALL($AK$3:$AK$254,AB50)</f>
        <v>-59533.79075</v>
      </c>
    </row>
    <row r="51" spans="1:38" ht="15" thickBot="1" x14ac:dyDescent="0.35">
      <c r="A51" s="5" t="s">
        <v>332</v>
      </c>
      <c r="B51" s="6">
        <v>8.39</v>
      </c>
      <c r="C51" s="5">
        <v>9.4</v>
      </c>
      <c r="D51" s="6">
        <v>6.27</v>
      </c>
      <c r="E51" s="5">
        <v>1.28</v>
      </c>
      <c r="F51" s="5">
        <v>5.59</v>
      </c>
      <c r="G51" s="5">
        <v>4.6500000000000004</v>
      </c>
      <c r="H51" s="5">
        <v>3.75</v>
      </c>
      <c r="J51" s="5" t="s">
        <v>332</v>
      </c>
      <c r="K51" s="11">
        <f>+ROUND(LN(B51/B52),6)</f>
        <v>9.5809999999999992E-3</v>
      </c>
      <c r="L51" s="11">
        <f>+ROUND(LN(C51/C52),6)</f>
        <v>0</v>
      </c>
      <c r="M51" s="11">
        <f>+ROUND(LN(D51/D52),6)</f>
        <v>4.7959999999999999E-3</v>
      </c>
      <c r="N51" s="11">
        <f>+ROUND(LN(E51/E52),6)</f>
        <v>0</v>
      </c>
      <c r="O51" s="11">
        <f>+ROUND(LN(F51/F52),6)</f>
        <v>-8.9049999999999997E-3</v>
      </c>
      <c r="P51" s="11">
        <f>+ROUND(LN(G51/G52),6)</f>
        <v>-2.1480000000000002E-3</v>
      </c>
      <c r="Q51" s="11">
        <f>+ROUND(LN(H51/H52),6)</f>
        <v>0</v>
      </c>
      <c r="R51" s="3"/>
      <c r="T51" s="5" t="s">
        <v>50</v>
      </c>
      <c r="U51" s="15">
        <f>+ROUND(B$3*EXP(K51),6)</f>
        <v>7.6731660000000002</v>
      </c>
      <c r="V51" s="15">
        <f>+ROUND(C$3*EXP(L51),6)</f>
        <v>9.35</v>
      </c>
      <c r="W51" s="15">
        <f>+ROUND(D$3*EXP(M51),6)</f>
        <v>2.7833169999999998</v>
      </c>
      <c r="X51" s="15">
        <f>+ROUND(E$3*EXP(N51),6)</f>
        <v>1.1499999999999999</v>
      </c>
      <c r="Y51" s="15">
        <f>+ROUND(F$3*EXP(O51),6)</f>
        <v>4.9358500000000003</v>
      </c>
      <c r="Z51" s="15">
        <f>+ROUND(G$3*EXP(P51),6)</f>
        <v>4.3207089999999999</v>
      </c>
      <c r="AA51" s="15">
        <f>+ROUND(H$3*EXP(Q51),6)</f>
        <v>3.42</v>
      </c>
      <c r="AB51" s="1">
        <v>49</v>
      </c>
      <c r="AC51" s="5" t="s">
        <v>50</v>
      </c>
      <c r="AD51" s="16">
        <f>+ROUND(Pozisyon!$U$4*('Data - Simülasyon- P&amp;L'!U51-'Data - Simülasyon- P&amp;L'!B$3),6)</f>
        <v>10535.904</v>
      </c>
      <c r="AE51" s="16">
        <f>+ROUND(Pozisyon!$U$5*('Data - Simülasyon- P&amp;L'!V51-'Data - Simülasyon- P&amp;L'!C$3),6)</f>
        <v>0</v>
      </c>
      <c r="AF51" s="16">
        <f>+ROUND(Pozisyon!$U$6*('Data - Simülasyon- P&amp;L'!W51-'Data - Simülasyon- P&amp;L'!D$3),6)</f>
        <v>249.69374999999999</v>
      </c>
      <c r="AG51" s="16">
        <f>+ROUND(Pozisyon!$U$7*('Data - Simülasyon- P&amp;L'!X51-'Data - Simülasyon- P&amp;L'!E$3),6)</f>
        <v>0</v>
      </c>
      <c r="AH51" s="16">
        <f>+ROUND(Pozisyon!$U$8*('Data - Simülasyon- P&amp;L'!Y51-'Data - Simülasyon- P&amp;L'!F$3),6)</f>
        <v>-9448.1</v>
      </c>
      <c r="AI51" s="16">
        <f>+ROUND(Pozisyon!$U$9*('Data - Simülasyon- P&amp;L'!Z51-'Data - Simülasyon- P&amp;L'!G$3),6)</f>
        <v>-2796.5909999999999</v>
      </c>
      <c r="AJ51" s="16">
        <f>+ROUND(Pozisyon!$U$10*('Data - Simülasyon- P&amp;L'!AA51-'Data - Simülasyon- P&amp;L'!H$3),6)</f>
        <v>0</v>
      </c>
      <c r="AK51" s="16">
        <f>+SUM(AD51:AJ51)</f>
        <v>-1459.0932499999994</v>
      </c>
      <c r="AL51" s="16">
        <f>+SMALL($AK$3:$AK$254,AB51)</f>
        <v>-58607.329250000003</v>
      </c>
    </row>
    <row r="52" spans="1:38" ht="15" thickBot="1" x14ac:dyDescent="0.35">
      <c r="A52" s="5" t="s">
        <v>333</v>
      </c>
      <c r="B52" s="6">
        <v>8.31</v>
      </c>
      <c r="C52" s="5">
        <v>9.4</v>
      </c>
      <c r="D52" s="6">
        <v>6.24</v>
      </c>
      <c r="E52" s="5">
        <v>1.28</v>
      </c>
      <c r="F52" s="5">
        <v>5.64</v>
      </c>
      <c r="G52" s="5">
        <v>4.66</v>
      </c>
      <c r="H52" s="5">
        <v>3.75</v>
      </c>
      <c r="J52" s="5" t="s">
        <v>333</v>
      </c>
      <c r="K52" s="11">
        <f>+ROUND(LN(B52/B53),6)</f>
        <v>-4.8019999999999998E-3</v>
      </c>
      <c r="L52" s="11">
        <f>+ROUND(LN(C52/C53),6)</f>
        <v>-5.3049999999999998E-3</v>
      </c>
      <c r="M52" s="11">
        <f>+ROUND(LN(D52/D53),6)</f>
        <v>-1.7475000000000001E-2</v>
      </c>
      <c r="N52" s="11">
        <f>+ROUND(LN(E52/E53),6)</f>
        <v>0</v>
      </c>
      <c r="O52" s="11">
        <f>+ROUND(LN(F52/F53),6)</f>
        <v>-1.4085E-2</v>
      </c>
      <c r="P52" s="11">
        <f>+ROUND(LN(G52/G53),6)</f>
        <v>-8.5470000000000008E-3</v>
      </c>
      <c r="Q52" s="11">
        <f>+ROUND(LN(H52/H53),6)</f>
        <v>-1.3245E-2</v>
      </c>
      <c r="R52" s="3"/>
      <c r="T52" s="5" t="s">
        <v>51</v>
      </c>
      <c r="U52" s="15">
        <f>+ROUND(B$3*EXP(K52),6)</f>
        <v>7.5635919999999999</v>
      </c>
      <c r="V52" s="15">
        <f>+ROUND(C$3*EXP(L52),6)</f>
        <v>9.3005300000000002</v>
      </c>
      <c r="W52" s="15">
        <f>+ROUND(D$3*EXP(M52),6)</f>
        <v>2.7220149999999999</v>
      </c>
      <c r="X52" s="15">
        <f>+ROUND(E$3*EXP(N52),6)</f>
        <v>1.1499999999999999</v>
      </c>
      <c r="Y52" s="15">
        <f>+ROUND(F$3*EXP(O52),6)</f>
        <v>4.9103479999999999</v>
      </c>
      <c r="Z52" s="15">
        <f>+ROUND(G$3*EXP(P52),6)</f>
        <v>4.2931489999999997</v>
      </c>
      <c r="AA52" s="15">
        <f>+ROUND(H$3*EXP(Q52),6)</f>
        <v>3.3750010000000001</v>
      </c>
      <c r="AB52" s="1">
        <v>50</v>
      </c>
      <c r="AC52" s="5" t="s">
        <v>51</v>
      </c>
      <c r="AD52" s="16">
        <f>+ROUND(Pozisyon!$U$4*('Data - Simülasyon- P&amp;L'!U52-'Data - Simülasyon- P&amp;L'!B$3),6)</f>
        <v>-5242.7520000000004</v>
      </c>
      <c r="AE52" s="16">
        <f>+ROUND(Pozisyon!$U$5*('Data - Simülasyon- P&amp;L'!V52-'Data - Simülasyon- P&amp;L'!C$3),6)</f>
        <v>-1236.75</v>
      </c>
      <c r="AF52" s="16">
        <f>+ROUND(Pozisyon!$U$6*('Data - Simülasyon- P&amp;L'!W52-'Data - Simülasyon- P&amp;L'!D$3),6)</f>
        <v>-899.71875</v>
      </c>
      <c r="AG52" s="16">
        <f>+ROUND(Pozisyon!$U$7*('Data - Simülasyon- P&amp;L'!X52-'Data - Simülasyon- P&amp;L'!E$3),6)</f>
        <v>0</v>
      </c>
      <c r="AH52" s="16">
        <f>+ROUND(Pozisyon!$U$8*('Data - Simülasyon- P&amp;L'!Y52-'Data - Simülasyon- P&amp;L'!F$3),6)</f>
        <v>-14905.528</v>
      </c>
      <c r="AI52" s="16">
        <f>+ROUND(Pozisyon!$U$9*('Data - Simülasyon- P&amp;L'!Z52-'Data - Simülasyon- P&amp;L'!G$3),6)</f>
        <v>-11092.151</v>
      </c>
      <c r="AJ52" s="16">
        <f>+ROUND(Pozisyon!$U$10*('Data - Simülasyon- P&amp;L'!AA52-'Data - Simülasyon- P&amp;L'!H$3),6)</f>
        <v>-15794.648999999999</v>
      </c>
      <c r="AK52" s="16">
        <f>+SUM(AD52:AJ52)</f>
        <v>-49171.548749999994</v>
      </c>
      <c r="AL52" s="16">
        <f>+SMALL($AK$3:$AK$254,AB52)</f>
        <v>-58537.47075</v>
      </c>
    </row>
    <row r="53" spans="1:38" ht="15" thickBot="1" x14ac:dyDescent="0.35">
      <c r="A53" s="5" t="s">
        <v>334</v>
      </c>
      <c r="B53" s="6">
        <v>8.35</v>
      </c>
      <c r="C53" s="5">
        <v>9.4499999999999993</v>
      </c>
      <c r="D53" s="6">
        <v>6.35</v>
      </c>
      <c r="E53" s="5">
        <v>1.28</v>
      </c>
      <c r="F53" s="5">
        <v>5.72</v>
      </c>
      <c r="G53" s="5">
        <v>4.7</v>
      </c>
      <c r="H53" s="5">
        <v>3.8</v>
      </c>
      <c r="J53" s="5" t="s">
        <v>334</v>
      </c>
      <c r="K53" s="11">
        <f>+ROUND(LN(B53/B54),6)</f>
        <v>2.0569E-2</v>
      </c>
      <c r="L53" s="11">
        <f>+ROUND(LN(C53/C54),6)</f>
        <v>2.3556000000000001E-2</v>
      </c>
      <c r="M53" s="11">
        <f>+ROUND(LN(D53/D54),6)</f>
        <v>1.5873000000000002E-2</v>
      </c>
      <c r="N53" s="11">
        <f>+ROUND(LN(E53/E54),6)</f>
        <v>7.8429999999999993E-3</v>
      </c>
      <c r="O53" s="11">
        <f>+ROUND(LN(F53/F54),6)</f>
        <v>2.299E-2</v>
      </c>
      <c r="P53" s="11">
        <f>+ROUND(LN(G53/G54),6)</f>
        <v>2.5864000000000002E-2</v>
      </c>
      <c r="Q53" s="11">
        <f>+ROUND(LN(H53/H54),6)</f>
        <v>3.2087999999999998E-2</v>
      </c>
      <c r="R53" s="3"/>
      <c r="T53" s="5" t="s">
        <v>52</v>
      </c>
      <c r="U53" s="15">
        <f>+ROUND(B$3*EXP(K53),6)</f>
        <v>7.757943</v>
      </c>
      <c r="V53" s="15">
        <f>+ROUND(C$3*EXP(L53),6)</f>
        <v>9.5728629999999999</v>
      </c>
      <c r="W53" s="15">
        <f>+ROUND(D$3*EXP(M53),6)</f>
        <v>2.8143189999999998</v>
      </c>
      <c r="X53" s="15">
        <f>+ROUND(E$3*EXP(N53),6)</f>
        <v>1.1590549999999999</v>
      </c>
      <c r="Y53" s="15">
        <f>+ROUND(F$3*EXP(O53),6)</f>
        <v>5.0958160000000001</v>
      </c>
      <c r="Z53" s="15">
        <f>+ROUND(G$3*EXP(P53),6)</f>
        <v>4.4434519999999997</v>
      </c>
      <c r="AA53" s="15">
        <f>+ROUND(H$3*EXP(Q53),6)</f>
        <v>3.5315210000000001</v>
      </c>
      <c r="AB53" s="1">
        <v>51</v>
      </c>
      <c r="AC53" s="5" t="s">
        <v>52</v>
      </c>
      <c r="AD53" s="16">
        <f>+ROUND(Pozisyon!$U$4*('Data - Simülasyon- P&amp;L'!U53-'Data - Simülasyon- P&amp;L'!B$3),6)</f>
        <v>22743.792000000001</v>
      </c>
      <c r="AE53" s="16">
        <f>+ROUND(Pozisyon!$U$5*('Data - Simülasyon- P&amp;L'!V53-'Data - Simülasyon- P&amp;L'!C$3),6)</f>
        <v>5571.5749999999998</v>
      </c>
      <c r="AF53" s="16">
        <f>+ROUND(Pozisyon!$U$6*('Data - Simülasyon- P&amp;L'!W53-'Data - Simülasyon- P&amp;L'!D$3),6)</f>
        <v>830.98125000000005</v>
      </c>
      <c r="AG53" s="16">
        <f>+ROUND(Pozisyon!$U$7*('Data - Simülasyon- P&amp;L'!X53-'Data - Simülasyon- P&amp;L'!E$3),6)</f>
        <v>3196.415</v>
      </c>
      <c r="AH53" s="16">
        <f>+ROUND(Pozisyon!$U$8*('Data - Simülasyon- P&amp;L'!Y53-'Data - Simülasyon- P&amp;L'!F$3),6)</f>
        <v>24784.624</v>
      </c>
      <c r="AI53" s="16">
        <f>+ROUND(Pozisyon!$U$9*('Data - Simülasyon- P&amp;L'!Z53-'Data - Simülasyon- P&amp;L'!G$3),6)</f>
        <v>34149.052000000003</v>
      </c>
      <c r="AJ53" s="16">
        <f>+ROUND(Pozisyon!$U$10*('Data - Simülasyon- P&amp;L'!AA53-'Data - Simülasyon- P&amp;L'!H$3),6)</f>
        <v>39143.870999999999</v>
      </c>
      <c r="AK53" s="16">
        <f>+SUM(AD53:AJ53)</f>
        <v>130420.31024999999</v>
      </c>
      <c r="AL53" s="16">
        <f>+SMALL($AK$3:$AK$254,AB53)</f>
        <v>-58253.238750000004</v>
      </c>
    </row>
    <row r="54" spans="1:38" ht="15" thickBot="1" x14ac:dyDescent="0.35">
      <c r="A54" s="5" t="s">
        <v>335</v>
      </c>
      <c r="B54" s="6">
        <v>8.18</v>
      </c>
      <c r="C54" s="5">
        <v>9.23</v>
      </c>
      <c r="D54" s="6">
        <v>6.25</v>
      </c>
      <c r="E54" s="5">
        <v>1.27</v>
      </c>
      <c r="F54" s="5">
        <v>5.59</v>
      </c>
      <c r="G54" s="5">
        <v>4.58</v>
      </c>
      <c r="H54" s="5">
        <v>3.68</v>
      </c>
      <c r="J54" s="5" t="s">
        <v>335</v>
      </c>
      <c r="K54" s="11">
        <f>+ROUND(LN(B54/B55),6)</f>
        <v>-8.5210000000000008E-3</v>
      </c>
      <c r="L54" s="11">
        <f>+ROUND(LN(C54/C55),6)</f>
        <v>-7.5550000000000001E-3</v>
      </c>
      <c r="M54" s="11">
        <f>+ROUND(LN(D54/D55),6)</f>
        <v>0</v>
      </c>
      <c r="N54" s="11">
        <f>+ROUND(LN(E54/E55),6)</f>
        <v>-1.5625E-2</v>
      </c>
      <c r="O54" s="11">
        <f>+ROUND(LN(F54/F55),6)</f>
        <v>-1.5972E-2</v>
      </c>
      <c r="P54" s="11">
        <f>+ROUND(LN(G54/G55),6)</f>
        <v>-1.0858E-2</v>
      </c>
      <c r="Q54" s="11">
        <f>+ROUND(LN(H54/H55),6)</f>
        <v>-8.1189999999999995E-3</v>
      </c>
      <c r="R54" s="3"/>
      <c r="T54" s="5" t="s">
        <v>53</v>
      </c>
      <c r="U54" s="15">
        <f>+ROUND(B$3*EXP(K54),6)</f>
        <v>7.5355160000000003</v>
      </c>
      <c r="V54" s="15">
        <f>+ROUND(C$3*EXP(L54),6)</f>
        <v>9.2796269999999996</v>
      </c>
      <c r="W54" s="15">
        <f>+ROUND(D$3*EXP(M54),6)</f>
        <v>2.77</v>
      </c>
      <c r="X54" s="15">
        <f>+ROUND(E$3*EXP(N54),6)</f>
        <v>1.132171</v>
      </c>
      <c r="Y54" s="15">
        <f>+ROUND(F$3*EXP(O54),6)</f>
        <v>4.9010910000000001</v>
      </c>
      <c r="Z54" s="15">
        <f>+ROUND(G$3*EXP(P54),6)</f>
        <v>4.283239</v>
      </c>
      <c r="AA54" s="15">
        <f>+ROUND(H$3*EXP(Q54),6)</f>
        <v>3.3923450000000002</v>
      </c>
      <c r="AB54" s="1">
        <v>52</v>
      </c>
      <c r="AC54" s="5" t="s">
        <v>53</v>
      </c>
      <c r="AD54" s="16">
        <f>+ROUND(Pozisyon!$U$4*('Data - Simülasyon- P&amp;L'!U54-'Data - Simülasyon- P&amp;L'!B$3),6)</f>
        <v>-9285.6959999999999</v>
      </c>
      <c r="AE54" s="16">
        <f>+ROUND(Pozisyon!$U$5*('Data - Simülasyon- P&amp;L'!V54-'Data - Simülasyon- P&amp;L'!C$3),6)</f>
        <v>-1759.325</v>
      </c>
      <c r="AF54" s="16">
        <f>+ROUND(Pozisyon!$U$6*('Data - Simülasyon- P&amp;L'!W54-'Data - Simülasyon- P&amp;L'!D$3),6)</f>
        <v>0</v>
      </c>
      <c r="AG54" s="16">
        <f>+ROUND(Pozisyon!$U$7*('Data - Simülasyon- P&amp;L'!X54-'Data - Simülasyon- P&amp;L'!E$3),6)</f>
        <v>-6293.6369999999997</v>
      </c>
      <c r="AH54" s="16">
        <f>+ROUND(Pozisyon!$U$8*('Data - Simülasyon- P&amp;L'!Y54-'Data - Simülasyon- P&amp;L'!F$3),6)</f>
        <v>-16886.526000000002</v>
      </c>
      <c r="AI54" s="16">
        <f>+ROUND(Pozisyon!$U$9*('Data - Simülasyon- P&amp;L'!Z54-'Data - Simülasyon- P&amp;L'!G$3),6)</f>
        <v>-14075.061</v>
      </c>
      <c r="AJ54" s="16">
        <f>+ROUND(Pozisyon!$U$10*('Data - Simülasyon- P&amp;L'!AA54-'Data - Simülasyon- P&amp;L'!H$3),6)</f>
        <v>-9706.9050000000007</v>
      </c>
      <c r="AK54" s="16">
        <f>+SUM(AD54:AJ54)</f>
        <v>-58007.15</v>
      </c>
      <c r="AL54" s="16">
        <f>+SMALL($AK$3:$AK$254,AB54)</f>
        <v>-58007.15</v>
      </c>
    </row>
    <row r="55" spans="1:38" ht="15" thickBot="1" x14ac:dyDescent="0.35">
      <c r="A55" s="5" t="s">
        <v>336</v>
      </c>
      <c r="B55" s="6">
        <v>8.25</v>
      </c>
      <c r="C55" s="5">
        <v>9.3000000000000007</v>
      </c>
      <c r="D55" s="6">
        <v>6.25</v>
      </c>
      <c r="E55" s="5">
        <v>1.29</v>
      </c>
      <c r="F55" s="5">
        <v>5.68</v>
      </c>
      <c r="G55" s="5">
        <v>4.63</v>
      </c>
      <c r="H55" s="5">
        <v>3.71</v>
      </c>
      <c r="J55" s="5" t="s">
        <v>336</v>
      </c>
      <c r="K55" s="11">
        <f>+ROUND(LN(B55/B56),6)</f>
        <v>4.8599999999999997E-3</v>
      </c>
      <c r="L55" s="11">
        <f>+ROUND(LN(C55/C56),6)</f>
        <v>4.3099999999999996E-3</v>
      </c>
      <c r="M55" s="11">
        <f>+ROUND(LN(D55/D56),6)</f>
        <v>8.0319999999999992E-3</v>
      </c>
      <c r="N55" s="11">
        <f>+ROUND(LN(E55/E56),6)</f>
        <v>7.7819999999999999E-3</v>
      </c>
      <c r="O55" s="11">
        <f>+ROUND(LN(F55/F56),6)</f>
        <v>1.0619999999999999E-2</v>
      </c>
      <c r="P55" s="11">
        <f>+ROUND(LN(G55/G56),6)</f>
        <v>6.5009999999999998E-3</v>
      </c>
      <c r="Q55" s="11">
        <f>+ROUND(LN(H55/H56),6)</f>
        <v>1.9047999999999999E-2</v>
      </c>
      <c r="R55" s="3"/>
      <c r="T55" s="5" t="s">
        <v>54</v>
      </c>
      <c r="U55" s="15">
        <f>+ROUND(B$3*EXP(K55),6)</f>
        <v>7.6370259999999996</v>
      </c>
      <c r="V55" s="15">
        <f>+ROUND(C$3*EXP(L55),6)</f>
        <v>9.3903850000000002</v>
      </c>
      <c r="W55" s="15">
        <f>+ROUND(D$3*EXP(M55),6)</f>
        <v>2.792338</v>
      </c>
      <c r="X55" s="15">
        <f>+ROUND(E$3*EXP(N55),6)</f>
        <v>1.158984</v>
      </c>
      <c r="Y55" s="15">
        <f>+ROUND(F$3*EXP(O55),6)</f>
        <v>5.033169</v>
      </c>
      <c r="Z55" s="15">
        <f>+ROUND(G$3*EXP(P55),6)</f>
        <v>4.3582409999999996</v>
      </c>
      <c r="AA55" s="15">
        <f>+ROUND(H$3*EXP(Q55),6)</f>
        <v>3.4857689999999999</v>
      </c>
      <c r="AB55" s="1">
        <v>53</v>
      </c>
      <c r="AC55" s="5" t="s">
        <v>54</v>
      </c>
      <c r="AD55" s="16">
        <f>+ROUND(Pozisyon!$U$4*('Data - Simülasyon- P&amp;L'!U55-'Data - Simülasyon- P&amp;L'!B$3),6)</f>
        <v>5331.7439999999997</v>
      </c>
      <c r="AE55" s="16">
        <f>+ROUND(Pozisyon!$U$5*('Data - Simülasyon- P&amp;L'!V55-'Data - Simülasyon- P&amp;L'!C$3),6)</f>
        <v>1009.625</v>
      </c>
      <c r="AF55" s="16">
        <f>+ROUND(Pozisyon!$U$6*('Data - Simülasyon- P&amp;L'!W55-'Data - Simülasyon- P&amp;L'!D$3),6)</f>
        <v>418.83749999999998</v>
      </c>
      <c r="AG55" s="16">
        <f>+ROUND(Pozisyon!$U$7*('Data - Simülasyon- P&amp;L'!X55-'Data - Simülasyon- P&amp;L'!E$3),6)</f>
        <v>3171.3519999999999</v>
      </c>
      <c r="AH55" s="16">
        <f>+ROUND(Pozisyon!$U$8*('Data - Simülasyon- P&amp;L'!Y55-'Data - Simülasyon- P&amp;L'!F$3),6)</f>
        <v>11378.165999999999</v>
      </c>
      <c r="AI55" s="16">
        <f>+ROUND(Pozisyon!$U$9*('Data - Simülasyon- P&amp;L'!Z55-'Data - Simülasyon- P&amp;L'!G$3),6)</f>
        <v>8500.5409999999993</v>
      </c>
      <c r="AJ55" s="16">
        <f>+ROUND(Pozisyon!$U$10*('Data - Simülasyon- P&amp;L'!AA55-'Data - Simülasyon- P&amp;L'!H$3),6)</f>
        <v>23084.919000000002</v>
      </c>
      <c r="AK55" s="16">
        <f>+SUM(AD55:AJ55)</f>
        <v>52895.184499999996</v>
      </c>
      <c r="AL55" s="16">
        <f>+SMALL($AK$3:$AK$254,AB55)</f>
        <v>-55124.98775</v>
      </c>
    </row>
    <row r="56" spans="1:38" ht="15" thickBot="1" x14ac:dyDescent="0.35">
      <c r="A56" s="5" t="s">
        <v>337</v>
      </c>
      <c r="B56" s="6">
        <v>8.2100000000000009</v>
      </c>
      <c r="C56" s="5">
        <v>9.26</v>
      </c>
      <c r="D56" s="6">
        <v>6.2</v>
      </c>
      <c r="E56" s="5">
        <v>1.28</v>
      </c>
      <c r="F56" s="5">
        <v>5.62</v>
      </c>
      <c r="G56" s="5">
        <v>4.5999999999999996</v>
      </c>
      <c r="H56" s="5">
        <v>3.64</v>
      </c>
      <c r="J56" s="5" t="s">
        <v>337</v>
      </c>
      <c r="K56" s="11">
        <f>+ROUND(LN(B56/B57),6)</f>
        <v>9.7920000000000004E-3</v>
      </c>
      <c r="L56" s="11">
        <f>+ROUND(LN(C56/C57),6)</f>
        <v>1.4138E-2</v>
      </c>
      <c r="M56" s="11">
        <f>+ROUND(LN(D56/D57),6)</f>
        <v>-2.5479000000000002E-2</v>
      </c>
      <c r="N56" s="11">
        <f>+ROUND(LN(E56/E57),6)</f>
        <v>1.5748000000000002E-2</v>
      </c>
      <c r="O56" s="11">
        <f>+ROUND(LN(F56/F57),6)</f>
        <v>1.2534E-2</v>
      </c>
      <c r="P56" s="11">
        <f>+ROUND(LN(G56/G57),6)</f>
        <v>1.3129E-2</v>
      </c>
      <c r="Q56" s="11">
        <f>+ROUND(LN(H56/H57),6)</f>
        <v>1.3831E-2</v>
      </c>
      <c r="R56" s="3"/>
      <c r="T56" s="5" t="s">
        <v>55</v>
      </c>
      <c r="U56" s="15">
        <f>+ROUND(B$3*EXP(K56),6)</f>
        <v>7.674785</v>
      </c>
      <c r="V56" s="15">
        <f>+ROUND(C$3*EXP(L56),6)</f>
        <v>9.4831289999999999</v>
      </c>
      <c r="W56" s="15">
        <f>+ROUND(D$3*EXP(M56),6)</f>
        <v>2.7003149999999998</v>
      </c>
      <c r="X56" s="15">
        <f>+ROUND(E$3*EXP(N56),6)</f>
        <v>1.1682539999999999</v>
      </c>
      <c r="Y56" s="15">
        <f>+ROUND(F$3*EXP(O56),6)</f>
        <v>5.0428119999999996</v>
      </c>
      <c r="Z56" s="15">
        <f>+ROUND(G$3*EXP(P56),6)</f>
        <v>4.3872229999999997</v>
      </c>
      <c r="AA56" s="15">
        <f>+ROUND(H$3*EXP(Q56),6)</f>
        <v>3.4676309999999999</v>
      </c>
      <c r="AB56" s="1">
        <v>54</v>
      </c>
      <c r="AC56" s="5" t="s">
        <v>55</v>
      </c>
      <c r="AD56" s="16">
        <f>+ROUND(Pozisyon!$U$4*('Data - Simülasyon- P&amp;L'!U56-'Data - Simülasyon- P&amp;L'!B$3),6)</f>
        <v>10769.04</v>
      </c>
      <c r="AE56" s="16">
        <f>+ROUND(Pozisyon!$U$5*('Data - Simülasyon- P&amp;L'!V56-'Data - Simülasyon- P&amp;L'!C$3),6)</f>
        <v>3328.2249999999999</v>
      </c>
      <c r="AF56" s="16">
        <f>+ROUND(Pozisyon!$U$6*('Data - Simülasyon- P&amp;L'!W56-'Data - Simülasyon- P&amp;L'!D$3),6)</f>
        <v>-1306.59375</v>
      </c>
      <c r="AG56" s="16">
        <f>+ROUND(Pozisyon!$U$7*('Data - Simülasyon- P&amp;L'!X56-'Data - Simülasyon- P&amp;L'!E$3),6)</f>
        <v>6443.6620000000003</v>
      </c>
      <c r="AH56" s="16">
        <f>+ROUND(Pozisyon!$U$8*('Data - Simülasyon- P&amp;L'!Y56-'Data - Simülasyon- P&amp;L'!F$3),6)</f>
        <v>13441.768</v>
      </c>
      <c r="AI56" s="16">
        <f>+ROUND(Pozisyon!$U$9*('Data - Simülasyon- P&amp;L'!Z56-'Data - Simülasyon- P&amp;L'!G$3),6)</f>
        <v>17224.123</v>
      </c>
      <c r="AJ56" s="16">
        <f>+ROUND(Pozisyon!$U$10*('Data - Simülasyon- P&amp;L'!AA56-'Data - Simülasyon- P&amp;L'!H$3),6)</f>
        <v>16718.481</v>
      </c>
      <c r="AK56" s="16">
        <f>+SUM(AD56:AJ56)</f>
        <v>66618.705249999999</v>
      </c>
      <c r="AL56" s="16">
        <f>+SMALL($AK$3:$AK$254,AB56)</f>
        <v>-54783.938000000002</v>
      </c>
    </row>
    <row r="57" spans="1:38" ht="15" thickBot="1" x14ac:dyDescent="0.35">
      <c r="A57" s="5" t="s">
        <v>338</v>
      </c>
      <c r="B57" s="6">
        <v>8.1300000000000008</v>
      </c>
      <c r="C57" s="5">
        <v>9.1300000000000008</v>
      </c>
      <c r="D57" s="6">
        <v>6.36</v>
      </c>
      <c r="E57" s="5">
        <v>1.26</v>
      </c>
      <c r="F57" s="5">
        <v>5.55</v>
      </c>
      <c r="G57" s="5">
        <v>4.54</v>
      </c>
      <c r="H57" s="5">
        <v>3.59</v>
      </c>
      <c r="J57" s="5" t="s">
        <v>338</v>
      </c>
      <c r="K57" s="11">
        <f>+ROUND(LN(B57/B58),6)</f>
        <v>1.9876000000000001E-2</v>
      </c>
      <c r="L57" s="11">
        <f>+ROUND(LN(C57/C58),6)</f>
        <v>2.6638999999999999E-2</v>
      </c>
      <c r="M57" s="11">
        <f>+ROUND(LN(D57/D58),6)</f>
        <v>2.5479000000000002E-2</v>
      </c>
      <c r="N57" s="11">
        <f>+ROUND(LN(E57/E58),6)</f>
        <v>1.6E-2</v>
      </c>
      <c r="O57" s="11">
        <f>+ROUND(LN(F57/F58),6)</f>
        <v>9.0500000000000008E-3</v>
      </c>
      <c r="P57" s="11">
        <f>+ROUND(LN(G57/G58),6)</f>
        <v>1.7777999999999999E-2</v>
      </c>
      <c r="Q57" s="11">
        <f>+ROUND(LN(H57/H58),6)</f>
        <v>1.4024999999999999E-2</v>
      </c>
      <c r="R57" s="3"/>
      <c r="T57" s="5" t="s">
        <v>56</v>
      </c>
      <c r="U57" s="15">
        <f>+ROUND(B$3*EXP(K57),6)</f>
        <v>7.7525690000000003</v>
      </c>
      <c r="V57" s="15">
        <f>+ROUND(C$3*EXP(L57),6)</f>
        <v>9.6024220000000007</v>
      </c>
      <c r="W57" s="15">
        <f>+ROUND(D$3*EXP(M57),6)</f>
        <v>2.8414839999999999</v>
      </c>
      <c r="X57" s="15">
        <f>+ROUND(E$3*EXP(N57),6)</f>
        <v>1.1685479999999999</v>
      </c>
      <c r="Y57" s="15">
        <f>+ROUND(F$3*EXP(O57),6)</f>
        <v>5.0252739999999996</v>
      </c>
      <c r="Z57" s="15">
        <f>+ROUND(G$3*EXP(P57),6)</f>
        <v>4.407667</v>
      </c>
      <c r="AA57" s="15">
        <f>+ROUND(H$3*EXP(Q57),6)</f>
        <v>3.4683030000000001</v>
      </c>
      <c r="AB57" s="1">
        <v>55</v>
      </c>
      <c r="AC57" s="5" t="s">
        <v>56</v>
      </c>
      <c r="AD57" s="16">
        <f>+ROUND(Pozisyon!$U$4*('Data - Simülasyon- P&amp;L'!U57-'Data - Simülasyon- P&amp;L'!B$3),6)</f>
        <v>21969.936000000002</v>
      </c>
      <c r="AE57" s="16">
        <f>+ROUND(Pozisyon!$U$5*('Data - Simülasyon- P&amp;L'!V57-'Data - Simülasyon- P&amp;L'!C$3),6)</f>
        <v>6310.55</v>
      </c>
      <c r="AF57" s="16">
        <f>+ROUND(Pozisyon!$U$6*('Data - Simülasyon- P&amp;L'!W57-'Data - Simülasyon- P&amp;L'!D$3),6)</f>
        <v>1340.325</v>
      </c>
      <c r="AG57" s="16">
        <f>+ROUND(Pozisyon!$U$7*('Data - Simülasyon- P&amp;L'!X57-'Data - Simülasyon- P&amp;L'!E$3),6)</f>
        <v>6547.4440000000004</v>
      </c>
      <c r="AH57" s="16">
        <f>+ROUND(Pozisyon!$U$8*('Data - Simülasyon- P&amp;L'!Y57-'Data - Simülasyon- P&amp;L'!F$3),6)</f>
        <v>9688.6360000000004</v>
      </c>
      <c r="AI57" s="16">
        <f>+ROUND(Pozisyon!$U$9*('Data - Simülasyon- P&amp;L'!Z57-'Data - Simülasyon- P&amp;L'!G$3),6)</f>
        <v>23377.767</v>
      </c>
      <c r="AJ57" s="16">
        <f>+ROUND(Pozisyon!$U$10*('Data - Simülasyon- P&amp;L'!AA57-'Data - Simülasyon- P&amp;L'!H$3),6)</f>
        <v>16954.352999999999</v>
      </c>
      <c r="AK57" s="16">
        <f>+SUM(AD57:AJ57)</f>
        <v>86189.010999999999</v>
      </c>
      <c r="AL57" s="16">
        <f>+SMALL($AK$3:$AK$254,AB57)</f>
        <v>-53914.842000000004</v>
      </c>
    </row>
    <row r="58" spans="1:38" ht="15" thickBot="1" x14ac:dyDescent="0.35">
      <c r="A58" s="5" t="s">
        <v>339</v>
      </c>
      <c r="B58" s="6">
        <v>7.97</v>
      </c>
      <c r="C58" s="5">
        <v>8.89</v>
      </c>
      <c r="D58" s="6">
        <v>6.2</v>
      </c>
      <c r="E58" s="5">
        <v>1.24</v>
      </c>
      <c r="F58" s="5">
        <v>5.5</v>
      </c>
      <c r="G58" s="5">
        <v>4.46</v>
      </c>
      <c r="H58" s="5">
        <v>3.54</v>
      </c>
      <c r="J58" s="5" t="s">
        <v>339</v>
      </c>
      <c r="K58" s="11">
        <f>+ROUND(LN(B58/B59),6)</f>
        <v>-2.506E-3</v>
      </c>
      <c r="L58" s="11">
        <f>+ROUND(LN(C58/C59),6)</f>
        <v>-4.4889999999999999E-3</v>
      </c>
      <c r="M58" s="11">
        <f>+ROUND(LN(D58/D59),6)</f>
        <v>0</v>
      </c>
      <c r="N58" s="11">
        <f>+ROUND(LN(E58/E59),6)</f>
        <v>-1.6E-2</v>
      </c>
      <c r="O58" s="11">
        <f>+ROUND(LN(F58/F59),6)</f>
        <v>1.4652E-2</v>
      </c>
      <c r="P58" s="11">
        <f>+ROUND(LN(G58/G59),6)</f>
        <v>2.245E-3</v>
      </c>
      <c r="Q58" s="11">
        <f>+ROUND(LN(H58/H59),6)</f>
        <v>-2.8210000000000002E-3</v>
      </c>
      <c r="R58" s="3"/>
      <c r="T58" s="5" t="s">
        <v>57</v>
      </c>
      <c r="U58" s="15">
        <f>+ROUND(B$3*EXP(K58),6)</f>
        <v>7.580978</v>
      </c>
      <c r="V58" s="15">
        <f>+ROUND(C$3*EXP(L58),6)</f>
        <v>9.3081219999999991</v>
      </c>
      <c r="W58" s="15">
        <f>+ROUND(D$3*EXP(M58),6)</f>
        <v>2.77</v>
      </c>
      <c r="X58" s="15">
        <f>+ROUND(E$3*EXP(N58),6)</f>
        <v>1.1317459999999999</v>
      </c>
      <c r="Y58" s="15">
        <f>+ROUND(F$3*EXP(O58),6)</f>
        <v>5.0535040000000002</v>
      </c>
      <c r="Z58" s="15">
        <f>+ROUND(G$3*EXP(P58),6)</f>
        <v>4.3397319999999997</v>
      </c>
      <c r="AA58" s="15">
        <f>+ROUND(H$3*EXP(Q58),6)</f>
        <v>3.4103659999999998</v>
      </c>
      <c r="AB58" s="1">
        <v>56</v>
      </c>
      <c r="AC58" s="5" t="s">
        <v>57</v>
      </c>
      <c r="AD58" s="16">
        <f>+ROUND(Pozisyon!$U$4*('Data - Simülasyon- P&amp;L'!U58-'Data - Simülasyon- P&amp;L'!B$3),6)</f>
        <v>-2739.1680000000001</v>
      </c>
      <c r="AE58" s="16">
        <f>+ROUND(Pozisyon!$U$5*('Data - Simülasyon- P&amp;L'!V58-'Data - Simülasyon- P&amp;L'!C$3),6)</f>
        <v>-1046.95</v>
      </c>
      <c r="AF58" s="16">
        <f>+ROUND(Pozisyon!$U$6*('Data - Simülasyon- P&amp;L'!W58-'Data - Simülasyon- P&amp;L'!D$3),6)</f>
        <v>0</v>
      </c>
      <c r="AG58" s="16">
        <f>+ROUND(Pozisyon!$U$7*('Data - Simülasyon- P&amp;L'!X58-'Data - Simülasyon- P&amp;L'!E$3),6)</f>
        <v>-6443.6620000000003</v>
      </c>
      <c r="AH58" s="16">
        <f>+ROUND(Pozisyon!$U$8*('Data - Simülasyon- P&amp;L'!Y58-'Data - Simülasyon- P&amp;L'!F$3),6)</f>
        <v>15729.856</v>
      </c>
      <c r="AI58" s="16">
        <f>+ROUND(Pozisyon!$U$9*('Data - Simülasyon- P&amp;L'!Z58-'Data - Simülasyon- P&amp;L'!G$3),6)</f>
        <v>2929.3319999999999</v>
      </c>
      <c r="AJ58" s="16">
        <f>+ROUND(Pozisyon!$U$10*('Data - Simülasyon- P&amp;L'!AA58-'Data - Simülasyon- P&amp;L'!H$3),6)</f>
        <v>-3381.5340000000001</v>
      </c>
      <c r="AK58" s="16">
        <f>+SUM(AD58:AJ58)</f>
        <v>5047.8739999999998</v>
      </c>
      <c r="AL58" s="16">
        <f>+SMALL($AK$3:$AK$254,AB58)</f>
        <v>-50346.597250000006</v>
      </c>
    </row>
    <row r="59" spans="1:38" ht="15" thickBot="1" x14ac:dyDescent="0.35">
      <c r="A59" s="5" t="s">
        <v>340</v>
      </c>
      <c r="B59" s="6">
        <v>7.99</v>
      </c>
      <c r="C59" s="5">
        <v>8.93</v>
      </c>
      <c r="D59" s="6">
        <v>6.2</v>
      </c>
      <c r="E59" s="5">
        <v>1.26</v>
      </c>
      <c r="F59" s="5">
        <v>5.42</v>
      </c>
      <c r="G59" s="5">
        <v>4.45</v>
      </c>
      <c r="H59" s="5">
        <v>3.55</v>
      </c>
      <c r="J59" s="5" t="s">
        <v>340</v>
      </c>
      <c r="K59" s="11">
        <f>+ROUND(LN(B59/B60),6)</f>
        <v>1.5133000000000001E-2</v>
      </c>
      <c r="L59" s="11">
        <f>+ROUND(LN(C59/C60),6)</f>
        <v>1.9220000000000001E-2</v>
      </c>
      <c r="M59" s="11">
        <f>+ROUND(LN(D59/D60),6)</f>
        <v>0.14372099999999999</v>
      </c>
      <c r="N59" s="11">
        <f>+ROUND(LN(E59/E60),6)</f>
        <v>7.9679999999999994E-3</v>
      </c>
      <c r="O59" s="11">
        <f>+ROUND(LN(F59/F60),6)</f>
        <v>-3.6830000000000001E-3</v>
      </c>
      <c r="P59" s="11">
        <f>+ROUND(LN(G59/G60),6)</f>
        <v>2.0431999999999999E-2</v>
      </c>
      <c r="Q59" s="11">
        <f>+ROUND(LN(H59/H60),6)</f>
        <v>1.1332E-2</v>
      </c>
      <c r="R59" s="3"/>
      <c r="T59" s="5" t="s">
        <v>58</v>
      </c>
      <c r="U59" s="15">
        <f>+ROUND(B$3*EXP(K59),6)</f>
        <v>7.7158850000000001</v>
      </c>
      <c r="V59" s="15">
        <f>+ROUND(C$3*EXP(L59),6)</f>
        <v>9.5314449999999997</v>
      </c>
      <c r="W59" s="15">
        <f>+ROUND(D$3*EXP(M59),6)</f>
        <v>3.198137</v>
      </c>
      <c r="X59" s="15">
        <f>+ROUND(E$3*EXP(N59),6)</f>
        <v>1.1592</v>
      </c>
      <c r="Y59" s="15">
        <f>+ROUND(F$3*EXP(O59),6)</f>
        <v>4.9616920000000002</v>
      </c>
      <c r="Z59" s="15">
        <f>+ROUND(G$3*EXP(P59),6)</f>
        <v>4.4193809999999996</v>
      </c>
      <c r="AA59" s="15">
        <f>+ROUND(H$3*EXP(Q59),6)</f>
        <v>3.4589759999999998</v>
      </c>
      <c r="AB59" s="1">
        <v>57</v>
      </c>
      <c r="AC59" s="5" t="s">
        <v>58</v>
      </c>
      <c r="AD59" s="16">
        <f>+ROUND(Pozisyon!$U$4*('Data - Simülasyon- P&amp;L'!U59-'Data - Simülasyon- P&amp;L'!B$3),6)</f>
        <v>16687.439999999999</v>
      </c>
      <c r="AE59" s="16">
        <f>+ROUND(Pozisyon!$U$5*('Data - Simülasyon- P&amp;L'!V59-'Data - Simülasyon- P&amp;L'!C$3),6)</f>
        <v>4536.125</v>
      </c>
      <c r="AF59" s="16">
        <f>+ROUND(Pozisyon!$U$6*('Data - Simülasyon- P&amp;L'!W59-'Data - Simülasyon- P&amp;L'!D$3),6)</f>
        <v>8027.5687500000004</v>
      </c>
      <c r="AG59" s="16">
        <f>+ROUND(Pozisyon!$U$7*('Data - Simülasyon- P&amp;L'!X59-'Data - Simülasyon- P&amp;L'!E$3),6)</f>
        <v>3247.6</v>
      </c>
      <c r="AH59" s="16">
        <f>+ROUND(Pozisyon!$U$8*('Data - Simülasyon- P&amp;L'!Y59-'Data - Simülasyon- P&amp;L'!F$3),6)</f>
        <v>-3917.9119999999998</v>
      </c>
      <c r="AI59" s="16">
        <f>+ROUND(Pozisyon!$U$9*('Data - Simülasyon- P&amp;L'!Z59-'Data - Simülasyon- P&amp;L'!G$3),6)</f>
        <v>26903.681</v>
      </c>
      <c r="AJ59" s="16">
        <f>+ROUND(Pozisyon!$U$10*('Data - Simülasyon- P&amp;L'!AA59-'Data - Simülasyon- P&amp;L'!H$3),6)</f>
        <v>13680.575999999999</v>
      </c>
      <c r="AK59" s="16">
        <f>+SUM(AD59:AJ59)</f>
        <v>69165.078750000001</v>
      </c>
      <c r="AL59" s="16">
        <f>+SMALL($AK$3:$AK$254,AB59)</f>
        <v>-49171.548749999994</v>
      </c>
    </row>
    <row r="60" spans="1:38" ht="15" thickBot="1" x14ac:dyDescent="0.35">
      <c r="A60" s="5" t="s">
        <v>341</v>
      </c>
      <c r="B60" s="6">
        <v>7.87</v>
      </c>
      <c r="C60" s="5">
        <v>8.76</v>
      </c>
      <c r="D60" s="6">
        <v>5.37</v>
      </c>
      <c r="E60" s="5">
        <v>1.25</v>
      </c>
      <c r="F60" s="5">
        <v>5.44</v>
      </c>
      <c r="G60" s="5">
        <v>4.3600000000000003</v>
      </c>
      <c r="H60" s="5">
        <v>3.51</v>
      </c>
      <c r="J60" s="5" t="s">
        <v>341</v>
      </c>
      <c r="K60" s="11">
        <f>+ROUND(LN(B60/B61),6)</f>
        <v>-1.8880000000000001E-2</v>
      </c>
      <c r="L60" s="11">
        <f>+ROUND(LN(C60/C61),6)</f>
        <v>-1.9220000000000001E-2</v>
      </c>
      <c r="M60" s="11">
        <f>+ROUND(LN(D60/D61),6)</f>
        <v>-0.203207</v>
      </c>
      <c r="N60" s="11">
        <f>+ROUND(LN(E60/E61),6)</f>
        <v>-7.9679999999999994E-3</v>
      </c>
      <c r="O60" s="11">
        <f>+ROUND(LN(F60/F61),6)</f>
        <v>3.6830000000000001E-3</v>
      </c>
      <c r="P60" s="11">
        <f>+ROUND(LN(G60/G61),6)</f>
        <v>-1.8182E-2</v>
      </c>
      <c r="Q60" s="11">
        <f>+ROUND(LN(H60/H61),6)</f>
        <v>-1.1332E-2</v>
      </c>
      <c r="R60" s="3"/>
      <c r="T60" s="5" t="s">
        <v>59</v>
      </c>
      <c r="U60" s="15">
        <f>+ROUND(B$3*EXP(K60),6)</f>
        <v>7.4578579999999999</v>
      </c>
      <c r="V60" s="15">
        <f>+ROUND(C$3*EXP(L60),6)</f>
        <v>9.1720089999999992</v>
      </c>
      <c r="W60" s="15">
        <f>+ROUND(D$3*EXP(M60),6)</f>
        <v>2.2606229999999998</v>
      </c>
      <c r="X60" s="15">
        <f>+ROUND(E$3*EXP(N60),6)</f>
        <v>1.140873</v>
      </c>
      <c r="Y60" s="15">
        <f>+ROUND(F$3*EXP(O60),6)</f>
        <v>4.9983750000000002</v>
      </c>
      <c r="Z60" s="15">
        <f>+ROUND(G$3*EXP(P60),6)</f>
        <v>4.2519830000000001</v>
      </c>
      <c r="AA60" s="15">
        <f>+ROUND(H$3*EXP(Q60),6)</f>
        <v>3.3814630000000001</v>
      </c>
      <c r="AB60" s="1">
        <v>58</v>
      </c>
      <c r="AC60" s="5" t="s">
        <v>59</v>
      </c>
      <c r="AD60" s="16">
        <f>+ROUND(Pozisyon!$U$4*('Data - Simülasyon- P&amp;L'!U60-'Data - Simülasyon- P&amp;L'!B$3),6)</f>
        <v>-20468.448</v>
      </c>
      <c r="AE60" s="16">
        <f>+ROUND(Pozisyon!$U$5*('Data - Simülasyon- P&amp;L'!V60-'Data - Simülasyon- P&amp;L'!C$3),6)</f>
        <v>-4449.7749999999996</v>
      </c>
      <c r="AF60" s="16">
        <f>+ROUND(Pozisyon!$U$6*('Data - Simülasyon- P&amp;L'!W60-'Data - Simülasyon- P&amp;L'!D$3),6)</f>
        <v>-9550.8187500000004</v>
      </c>
      <c r="AG60" s="16">
        <f>+ROUND(Pozisyon!$U$7*('Data - Simülasyon- P&amp;L'!X60-'Data - Simülasyon- P&amp;L'!E$3),6)</f>
        <v>-3221.8310000000001</v>
      </c>
      <c r="AH60" s="16">
        <f>+ROUND(Pozisyon!$U$8*('Data - Simülasyon- P&amp;L'!Y60-'Data - Simülasyon- P&amp;L'!F$3),6)</f>
        <v>3932.25</v>
      </c>
      <c r="AI60" s="16">
        <f>+ROUND(Pozisyon!$U$9*('Data - Simülasyon- P&amp;L'!Z60-'Data - Simülasyon- P&amp;L'!G$3),6)</f>
        <v>-23483.116999999998</v>
      </c>
      <c r="AJ60" s="16">
        <f>+ROUND(Pozisyon!$U$10*('Data - Simülasyon- P&amp;L'!AA60-'Data - Simülasyon- P&amp;L'!H$3),6)</f>
        <v>-13526.486999999999</v>
      </c>
      <c r="AK60" s="16">
        <f>+SUM(AD60:AJ60)</f>
        <v>-70768.226749999987</v>
      </c>
      <c r="AL60" s="16">
        <f>+SMALL($AK$3:$AK$254,AB60)</f>
        <v>-48915.515749999999</v>
      </c>
    </row>
    <row r="61" spans="1:38" ht="15" thickBot="1" x14ac:dyDescent="0.35">
      <c r="A61" s="5" t="s">
        <v>342</v>
      </c>
      <c r="B61" s="6">
        <v>8.02</v>
      </c>
      <c r="C61" s="5">
        <v>8.93</v>
      </c>
      <c r="D61" s="6">
        <v>6.58</v>
      </c>
      <c r="E61" s="5">
        <v>1.26</v>
      </c>
      <c r="F61" s="5">
        <v>5.42</v>
      </c>
      <c r="G61" s="5">
        <v>4.4400000000000004</v>
      </c>
      <c r="H61" s="5">
        <v>3.55</v>
      </c>
      <c r="J61" s="5" t="s">
        <v>342</v>
      </c>
      <c r="K61" s="11">
        <f>+ROUND(LN(B61/B62),6)</f>
        <v>0</v>
      </c>
      <c r="L61" s="11">
        <f>+ROUND(LN(C61/C62),6)</f>
        <v>1.1199999999999999E-3</v>
      </c>
      <c r="M61" s="11">
        <f>+ROUND(LN(D61/D62),6)</f>
        <v>1.3772E-2</v>
      </c>
      <c r="N61" s="11">
        <f>+ROUND(LN(E61/E62),6)</f>
        <v>7.9679999999999994E-3</v>
      </c>
      <c r="O61" s="11">
        <f>+ROUND(LN(F61/F62),6)</f>
        <v>1.6744999999999999E-2</v>
      </c>
      <c r="P61" s="11">
        <f>+ROUND(LN(G61/G62),6)</f>
        <v>-6.7340000000000004E-3</v>
      </c>
      <c r="Q61" s="11">
        <f>+ROUND(LN(H61/H62),6)</f>
        <v>-8.4150000000000006E-3</v>
      </c>
      <c r="R61" s="3"/>
      <c r="T61" s="5" t="s">
        <v>60</v>
      </c>
      <c r="U61" s="15">
        <f>+ROUND(B$3*EXP(K61),6)</f>
        <v>7.6</v>
      </c>
      <c r="V61" s="15">
        <f>+ROUND(C$3*EXP(L61),6)</f>
        <v>9.3604780000000005</v>
      </c>
      <c r="W61" s="15">
        <f>+ROUND(D$3*EXP(M61),6)</f>
        <v>2.8084120000000001</v>
      </c>
      <c r="X61" s="15">
        <f>+ROUND(E$3*EXP(N61),6)</f>
        <v>1.1592</v>
      </c>
      <c r="Y61" s="15">
        <f>+ROUND(F$3*EXP(O61),6)</f>
        <v>5.0640919999999996</v>
      </c>
      <c r="Z61" s="15">
        <f>+ROUND(G$3*EXP(P61),6)</f>
        <v>4.3009399999999998</v>
      </c>
      <c r="AA61" s="15">
        <f>+ROUND(H$3*EXP(Q61),6)</f>
        <v>3.3913410000000002</v>
      </c>
      <c r="AB61" s="1">
        <v>59</v>
      </c>
      <c r="AC61" s="5" t="s">
        <v>60</v>
      </c>
      <c r="AD61" s="16">
        <f>+ROUND(Pozisyon!$U$4*('Data - Simülasyon- P&amp;L'!U61-'Data - Simülasyon- P&amp;L'!B$3),6)</f>
        <v>0</v>
      </c>
      <c r="AE61" s="16">
        <f>+ROUND(Pozisyon!$U$5*('Data - Simülasyon- P&amp;L'!V61-'Data - Simülasyon- P&amp;L'!C$3),6)</f>
        <v>261.95</v>
      </c>
      <c r="AF61" s="16">
        <f>+ROUND(Pozisyon!$U$6*('Data - Simülasyon- P&amp;L'!W61-'Data - Simülasyon- P&amp;L'!D$3),6)</f>
        <v>720.22500000000002</v>
      </c>
      <c r="AG61" s="16">
        <f>+ROUND(Pozisyon!$U$7*('Data - Simülasyon- P&amp;L'!X61-'Data - Simülasyon- P&amp;L'!E$3),6)</f>
        <v>3247.6</v>
      </c>
      <c r="AH61" s="16">
        <f>+ROUND(Pozisyon!$U$8*('Data - Simülasyon- P&amp;L'!Y61-'Data - Simülasyon- P&amp;L'!F$3),6)</f>
        <v>17995.687999999998</v>
      </c>
      <c r="AI61" s="16">
        <f>+ROUND(Pozisyon!$U$9*('Data - Simülasyon- P&amp;L'!Z61-'Data - Simülasyon- P&amp;L'!G$3),6)</f>
        <v>-8747.06</v>
      </c>
      <c r="AJ61" s="16">
        <f>+ROUND(Pozisyon!$U$10*('Data - Simülasyon- P&amp;L'!AA61-'Data - Simülasyon- P&amp;L'!H$3),6)</f>
        <v>-10059.308999999999</v>
      </c>
      <c r="AK61" s="16">
        <f>+SUM(AD61:AJ61)</f>
        <v>3419.0939999999973</v>
      </c>
      <c r="AL61" s="16">
        <f>+SMALL($AK$3:$AK$254,AB61)</f>
        <v>-47127.867999999995</v>
      </c>
    </row>
    <row r="62" spans="1:38" ht="15" thickBot="1" x14ac:dyDescent="0.35">
      <c r="A62" s="5" t="s">
        <v>343</v>
      </c>
      <c r="B62" s="6">
        <v>8.02</v>
      </c>
      <c r="C62" s="5">
        <v>8.92</v>
      </c>
      <c r="D62" s="6">
        <v>6.49</v>
      </c>
      <c r="E62" s="5">
        <v>1.25</v>
      </c>
      <c r="F62" s="5">
        <v>5.33</v>
      </c>
      <c r="G62" s="5">
        <v>4.47</v>
      </c>
      <c r="H62" s="5">
        <v>3.58</v>
      </c>
      <c r="J62" s="5" t="s">
        <v>343</v>
      </c>
      <c r="K62" s="11">
        <f>+ROUND(LN(B62/B63),6)</f>
        <v>-6.215E-3</v>
      </c>
      <c r="L62" s="11">
        <f>+ROUND(LN(C62/C63),6)</f>
        <v>-1.7777999999999999E-2</v>
      </c>
      <c r="M62" s="11">
        <f>+ROUND(LN(D62/D63),6)</f>
        <v>-3.0351E-2</v>
      </c>
      <c r="N62" s="11">
        <f>+ROUND(LN(E62/E63),6)</f>
        <v>-7.9679999999999994E-3</v>
      </c>
      <c r="O62" s="11">
        <f>+ROUND(LN(F62/F63),6)</f>
        <v>0</v>
      </c>
      <c r="P62" s="11">
        <f>+ROUND(LN(G62/G63),6)</f>
        <v>-1.7739000000000001E-2</v>
      </c>
      <c r="Q62" s="11">
        <f>+ROUND(LN(H62/H63),6)</f>
        <v>-1.387E-2</v>
      </c>
      <c r="R62" s="3"/>
      <c r="T62" s="5" t="s">
        <v>61</v>
      </c>
      <c r="U62" s="15">
        <f>+ROUND(B$3*EXP(K62),6)</f>
        <v>7.5529120000000001</v>
      </c>
      <c r="V62" s="15">
        <f>+ROUND(C$3*EXP(L62),6)</f>
        <v>9.1852450000000001</v>
      </c>
      <c r="W62" s="15">
        <f>+ROUND(D$3*EXP(M62),6)</f>
        <v>2.6871909999999999</v>
      </c>
      <c r="X62" s="15">
        <f>+ROUND(E$3*EXP(N62),6)</f>
        <v>1.140873</v>
      </c>
      <c r="Y62" s="15">
        <f>+ROUND(F$3*EXP(O62),6)</f>
        <v>4.9800000000000004</v>
      </c>
      <c r="Z62" s="15">
        <f>+ROUND(G$3*EXP(P62),6)</f>
        <v>4.2538669999999996</v>
      </c>
      <c r="AA62" s="15">
        <f>+ROUND(H$3*EXP(Q62),6)</f>
        <v>3.3728919999999998</v>
      </c>
      <c r="AB62" s="1">
        <v>60</v>
      </c>
      <c r="AC62" s="5" t="s">
        <v>61</v>
      </c>
      <c r="AD62" s="16">
        <f>+ROUND(Pozisyon!$U$4*('Data - Simülasyon- P&amp;L'!U62-'Data - Simülasyon- P&amp;L'!B$3),6)</f>
        <v>-6780.6719999999996</v>
      </c>
      <c r="AE62" s="16">
        <f>+ROUND(Pozisyon!$U$5*('Data - Simülasyon- P&amp;L'!V62-'Data - Simülasyon- P&amp;L'!C$3),6)</f>
        <v>-4118.875</v>
      </c>
      <c r="AF62" s="16">
        <f>+ROUND(Pozisyon!$U$6*('Data - Simülasyon- P&amp;L'!W62-'Data - Simülasyon- P&amp;L'!D$3),6)</f>
        <v>-1552.66875</v>
      </c>
      <c r="AG62" s="16">
        <f>+ROUND(Pozisyon!$U$7*('Data - Simülasyon- P&amp;L'!X62-'Data - Simülasyon- P&amp;L'!E$3),6)</f>
        <v>-3221.8310000000001</v>
      </c>
      <c r="AH62" s="16">
        <f>+ROUND(Pozisyon!$U$8*('Data - Simülasyon- P&amp;L'!Y62-'Data - Simülasyon- P&amp;L'!F$3),6)</f>
        <v>0</v>
      </c>
      <c r="AI62" s="16">
        <f>+ROUND(Pozisyon!$U$9*('Data - Simülasyon- P&amp;L'!Z62-'Data - Simülasyon- P&amp;L'!G$3),6)</f>
        <v>-22916.032999999999</v>
      </c>
      <c r="AJ62" s="16">
        <f>+ROUND(Pozisyon!$U$10*('Data - Simülasyon- P&amp;L'!AA62-'Data - Simülasyon- P&amp;L'!H$3),6)</f>
        <v>-16534.907999999999</v>
      </c>
      <c r="AK62" s="16">
        <f>+SUM(AD62:AJ62)</f>
        <v>-55124.98775</v>
      </c>
      <c r="AL62" s="16">
        <f>+SMALL($AK$3:$AK$254,AB62)</f>
        <v>-46429.223000000005</v>
      </c>
    </row>
    <row r="63" spans="1:38" ht="15" thickBot="1" x14ac:dyDescent="0.35">
      <c r="A63" s="5" t="s">
        <v>344</v>
      </c>
      <c r="B63" s="6">
        <v>8.07</v>
      </c>
      <c r="C63" s="5">
        <v>9.08</v>
      </c>
      <c r="D63" s="6">
        <v>6.69</v>
      </c>
      <c r="E63" s="5">
        <v>1.26</v>
      </c>
      <c r="F63" s="5">
        <v>5.33</v>
      </c>
      <c r="G63" s="5">
        <v>4.55</v>
      </c>
      <c r="H63" s="5">
        <v>3.63</v>
      </c>
      <c r="J63" s="5" t="s">
        <v>344</v>
      </c>
      <c r="K63" s="11">
        <f>+ROUND(LN(B63/B64),6)</f>
        <v>1.24E-3</v>
      </c>
      <c r="L63" s="11">
        <f>+ROUND(LN(C63/C64),6)</f>
        <v>-6.5859999999999998E-3</v>
      </c>
      <c r="M63" s="11">
        <f>+ROUND(LN(D63/D64),6)</f>
        <v>-1.6309000000000001E-2</v>
      </c>
      <c r="N63" s="11">
        <f>+ROUND(LN(E63/E64),6)</f>
        <v>0</v>
      </c>
      <c r="O63" s="11">
        <f>+ROUND(LN(F63/F64),6)</f>
        <v>1.1320999999999999E-2</v>
      </c>
      <c r="P63" s="11">
        <f>+ROUND(LN(G63/G64),6)</f>
        <v>-8.7530000000000004E-3</v>
      </c>
      <c r="Q63" s="11">
        <f>+ROUND(LN(H63/H64),6)</f>
        <v>0</v>
      </c>
      <c r="R63" s="3"/>
      <c r="T63" s="5" t="s">
        <v>62</v>
      </c>
      <c r="U63" s="15">
        <f>+ROUND(B$3*EXP(K63),6)</f>
        <v>7.6094299999999997</v>
      </c>
      <c r="V63" s="15">
        <f>+ROUND(C$3*EXP(L63),6)</f>
        <v>9.2886229999999994</v>
      </c>
      <c r="W63" s="15">
        <f>+ROUND(D$3*EXP(M63),6)</f>
        <v>2.72519</v>
      </c>
      <c r="X63" s="15">
        <f>+ROUND(E$3*EXP(N63),6)</f>
        <v>1.1499999999999999</v>
      </c>
      <c r="Y63" s="15">
        <f>+ROUND(F$3*EXP(O63),6)</f>
        <v>5.0366989999999996</v>
      </c>
      <c r="Z63" s="15">
        <f>+ROUND(G$3*EXP(P63),6)</f>
        <v>4.2922650000000004</v>
      </c>
      <c r="AA63" s="15">
        <f>+ROUND(H$3*EXP(Q63),6)</f>
        <v>3.42</v>
      </c>
      <c r="AB63" s="1">
        <v>61</v>
      </c>
      <c r="AC63" s="5" t="s">
        <v>62</v>
      </c>
      <c r="AD63" s="16">
        <f>+ROUND(Pozisyon!$U$4*('Data - Simülasyon- P&amp;L'!U63-'Data - Simülasyon- P&amp;L'!B$3),6)</f>
        <v>1357.92</v>
      </c>
      <c r="AE63" s="16">
        <f>+ROUND(Pozisyon!$U$5*('Data - Simülasyon- P&amp;L'!V63-'Data - Simülasyon- P&amp;L'!C$3),6)</f>
        <v>-1534.425</v>
      </c>
      <c r="AF63" s="16">
        <f>+ROUND(Pozisyon!$U$6*('Data - Simülasyon- P&amp;L'!W63-'Data - Simülasyon- P&amp;L'!D$3),6)</f>
        <v>-840.1875</v>
      </c>
      <c r="AG63" s="16">
        <f>+ROUND(Pozisyon!$U$7*('Data - Simülasyon- P&amp;L'!X63-'Data - Simülasyon- P&amp;L'!E$3),6)</f>
        <v>0</v>
      </c>
      <c r="AH63" s="16">
        <f>+ROUND(Pozisyon!$U$8*('Data - Simülasyon- P&amp;L'!Y63-'Data - Simülasyon- P&amp;L'!F$3),6)</f>
        <v>12133.585999999999</v>
      </c>
      <c r="AI63" s="16">
        <f>+ROUND(Pozisyon!$U$9*('Data - Simülasyon- P&amp;L'!Z63-'Data - Simülasyon- P&amp;L'!G$3),6)</f>
        <v>-11358.235000000001</v>
      </c>
      <c r="AJ63" s="16">
        <f>+ROUND(Pozisyon!$U$10*('Data - Simülasyon- P&amp;L'!AA63-'Data - Simülasyon- P&amp;L'!H$3),6)</f>
        <v>0</v>
      </c>
      <c r="AK63" s="16">
        <f>+SUM(AD63:AJ63)</f>
        <v>-241.34150000000045</v>
      </c>
      <c r="AL63" s="16">
        <f>+SMALL($AK$3:$AK$254,AB63)</f>
        <v>-45908.136500000001</v>
      </c>
    </row>
    <row r="64" spans="1:38" ht="15" thickBot="1" x14ac:dyDescent="0.35">
      <c r="A64" s="5" t="s">
        <v>345</v>
      </c>
      <c r="B64" s="6">
        <v>8.06</v>
      </c>
      <c r="C64" s="5">
        <v>9.14</v>
      </c>
      <c r="D64" s="6">
        <v>6.8</v>
      </c>
      <c r="E64" s="5">
        <v>1.26</v>
      </c>
      <c r="F64" s="5">
        <v>5.27</v>
      </c>
      <c r="G64" s="5">
        <v>4.59</v>
      </c>
      <c r="H64" s="5">
        <v>3.63</v>
      </c>
      <c r="J64" s="5" t="s">
        <v>345</v>
      </c>
      <c r="K64" s="11">
        <f>+ROUND(LN(B64/B65),6)</f>
        <v>-4.9509999999999997E-3</v>
      </c>
      <c r="L64" s="11">
        <f>+ROUND(LN(C64/C65),6)</f>
        <v>0</v>
      </c>
      <c r="M64" s="11">
        <f>+ROUND(LN(D64/D65),6)</f>
        <v>1.4815E-2</v>
      </c>
      <c r="N64" s="11">
        <f>+ROUND(LN(E64/E65),6)</f>
        <v>0</v>
      </c>
      <c r="O64" s="11">
        <f>+ROUND(LN(F64/F65),6)</f>
        <v>-1.3195E-2</v>
      </c>
      <c r="P64" s="11">
        <f>+ROUND(LN(G64/G65),6)</f>
        <v>-1.0834E-2</v>
      </c>
      <c r="Q64" s="11">
        <f>+ROUND(LN(H64/H65),6)</f>
        <v>-5.4949999999999999E-3</v>
      </c>
      <c r="R64" s="3"/>
      <c r="T64" s="5" t="s">
        <v>63</v>
      </c>
      <c r="U64" s="15">
        <f>+ROUND(B$3*EXP(K64),6)</f>
        <v>7.5624650000000004</v>
      </c>
      <c r="V64" s="15">
        <f>+ROUND(C$3*EXP(L64),6)</f>
        <v>9.35</v>
      </c>
      <c r="W64" s="15">
        <f>+ROUND(D$3*EXP(M64),6)</f>
        <v>2.8113429999999999</v>
      </c>
      <c r="X64" s="15">
        <f>+ROUND(E$3*EXP(N64),6)</f>
        <v>1.1499999999999999</v>
      </c>
      <c r="Y64" s="15">
        <f>+ROUND(F$3*EXP(O64),6)</f>
        <v>4.9147210000000001</v>
      </c>
      <c r="Z64" s="15">
        <f>+ROUND(G$3*EXP(P64),6)</f>
        <v>4.2833420000000002</v>
      </c>
      <c r="AA64" s="15">
        <f>+ROUND(H$3*EXP(Q64),6)</f>
        <v>3.401259</v>
      </c>
      <c r="AB64" s="1">
        <v>62</v>
      </c>
      <c r="AC64" s="5" t="s">
        <v>63</v>
      </c>
      <c r="AD64" s="16">
        <f>+ROUND(Pozisyon!$U$4*('Data - Simülasyon- P&amp;L'!U64-'Data - Simülasyon- P&amp;L'!B$3),6)</f>
        <v>-5405.04</v>
      </c>
      <c r="AE64" s="16">
        <f>+ROUND(Pozisyon!$U$5*('Data - Simülasyon- P&amp;L'!V64-'Data - Simülasyon- P&amp;L'!C$3),6)</f>
        <v>0</v>
      </c>
      <c r="AF64" s="16">
        <f>+ROUND(Pozisyon!$U$6*('Data - Simülasyon- P&amp;L'!W64-'Data - Simülasyon- P&amp;L'!D$3),6)</f>
        <v>775.18124999999998</v>
      </c>
      <c r="AG64" s="16">
        <f>+ROUND(Pozisyon!$U$7*('Data - Simülasyon- P&amp;L'!X64-'Data - Simülasyon- P&amp;L'!E$3),6)</f>
        <v>0</v>
      </c>
      <c r="AH64" s="16">
        <f>+ROUND(Pozisyon!$U$8*('Data - Simülasyon- P&amp;L'!Y64-'Data - Simülasyon- P&amp;L'!F$3),6)</f>
        <v>-13969.706</v>
      </c>
      <c r="AI64" s="16">
        <f>+ROUND(Pozisyon!$U$9*('Data - Simülasyon- P&amp;L'!Z64-'Data - Simülasyon- P&amp;L'!G$3),6)</f>
        <v>-14044.058000000001</v>
      </c>
      <c r="AJ64" s="16">
        <f>+ROUND(Pozisyon!$U$10*('Data - Simülasyon- P&amp;L'!AA64-'Data - Simülasyon- P&amp;L'!H$3),6)</f>
        <v>-6578.0910000000003</v>
      </c>
      <c r="AK64" s="16">
        <f>+SUM(AD64:AJ64)</f>
        <v>-39221.713750000003</v>
      </c>
      <c r="AL64" s="16">
        <f>+SMALL($AK$3:$AK$254,AB64)</f>
        <v>-45646.286000000007</v>
      </c>
    </row>
    <row r="65" spans="1:38" ht="15" thickBot="1" x14ac:dyDescent="0.35">
      <c r="A65" s="5" t="s">
        <v>346</v>
      </c>
      <c r="B65" s="6">
        <v>8.1</v>
      </c>
      <c r="C65" s="5">
        <v>9.14</v>
      </c>
      <c r="D65" s="6">
        <v>6.7</v>
      </c>
      <c r="E65" s="5">
        <v>1.26</v>
      </c>
      <c r="F65" s="5">
        <v>5.34</v>
      </c>
      <c r="G65" s="5">
        <v>4.6399999999999997</v>
      </c>
      <c r="H65" s="5">
        <v>3.65</v>
      </c>
      <c r="J65" s="5" t="s">
        <v>346</v>
      </c>
      <c r="K65" s="11">
        <f>+ROUND(LN(B65/B66),6)</f>
        <v>2.4719999999999998E-3</v>
      </c>
      <c r="L65" s="11">
        <f>+ROUND(LN(C65/C66),6)</f>
        <v>5.4850000000000003E-3</v>
      </c>
      <c r="M65" s="11">
        <f>+ROUND(LN(D65/D66),6)</f>
        <v>2.5701000000000002E-2</v>
      </c>
      <c r="N65" s="11">
        <f>+ROUND(LN(E65/E66),6)</f>
        <v>-1.5748000000000002E-2</v>
      </c>
      <c r="O65" s="11">
        <f>+ROUND(LN(F65/F66),6)</f>
        <v>5.6340000000000001E-3</v>
      </c>
      <c r="P65" s="11">
        <f>+ROUND(LN(G65/G66),6)</f>
        <v>-2.153E-3</v>
      </c>
      <c r="Q65" s="11">
        <f>+ROUND(LN(H65/H66),6)</f>
        <v>2.7430000000000002E-3</v>
      </c>
      <c r="R65" s="3"/>
      <c r="T65" s="5" t="s">
        <v>64</v>
      </c>
      <c r="U65" s="15">
        <f>+ROUND(B$3*EXP(K65),6)</f>
        <v>7.6188099999999999</v>
      </c>
      <c r="V65" s="15">
        <f>+ROUND(C$3*EXP(L65),6)</f>
        <v>9.4014260000000007</v>
      </c>
      <c r="W65" s="15">
        <f>+ROUND(D$3*EXP(M65),6)</f>
        <v>2.8421150000000002</v>
      </c>
      <c r="X65" s="15">
        <f>+ROUND(E$3*EXP(N65),6)</f>
        <v>1.1320319999999999</v>
      </c>
      <c r="Y65" s="15">
        <f>+ROUND(F$3*EXP(O65),6)</f>
        <v>5.0081369999999996</v>
      </c>
      <c r="Z65" s="15">
        <f>+ROUND(G$3*EXP(P65),6)</f>
        <v>4.3206879999999996</v>
      </c>
      <c r="AA65" s="15">
        <f>+ROUND(H$3*EXP(Q65),6)</f>
        <v>3.4293939999999998</v>
      </c>
      <c r="AB65" s="1">
        <v>63</v>
      </c>
      <c r="AC65" s="5" t="s">
        <v>64</v>
      </c>
      <c r="AD65" s="16">
        <f>+ROUND(Pozisyon!$U$4*('Data - Simülasyon- P&amp;L'!U65-'Data - Simülasyon- P&amp;L'!B$3),6)</f>
        <v>2708.64</v>
      </c>
      <c r="AE65" s="16">
        <f>+ROUND(Pozisyon!$U$5*('Data - Simülasyon- P&amp;L'!V65-'Data - Simülasyon- P&amp;L'!C$3),6)</f>
        <v>1285.6500000000001</v>
      </c>
      <c r="AF65" s="16">
        <f>+ROUND(Pozisyon!$U$6*('Data - Simülasyon- P&amp;L'!W65-'Data - Simülasyon- P&amp;L'!D$3),6)</f>
        <v>1352.15625</v>
      </c>
      <c r="AG65" s="16">
        <f>+ROUND(Pozisyon!$U$7*('Data - Simülasyon- P&amp;L'!X65-'Data - Simülasyon- P&amp;L'!E$3),6)</f>
        <v>-6342.7039999999997</v>
      </c>
      <c r="AH65" s="16">
        <f>+ROUND(Pozisyon!$U$8*('Data - Simülasyon- P&amp;L'!Y65-'Data - Simülasyon- P&amp;L'!F$3),6)</f>
        <v>6021.3180000000002</v>
      </c>
      <c r="AI65" s="16">
        <f>+ROUND(Pozisyon!$U$9*('Data - Simülasyon- P&amp;L'!Z65-'Data - Simülasyon- P&amp;L'!G$3),6)</f>
        <v>-2802.9119999999998</v>
      </c>
      <c r="AJ65" s="16">
        <f>+ROUND(Pozisyon!$U$10*('Data - Simülasyon- P&amp;L'!AA65-'Data - Simülasyon- P&amp;L'!H$3),6)</f>
        <v>3297.2939999999999</v>
      </c>
      <c r="AK65" s="16">
        <f>+SUM(AD65:AJ65)</f>
        <v>5519.4422500000001</v>
      </c>
      <c r="AL65" s="16">
        <f>+SMALL($AK$3:$AK$254,AB65)</f>
        <v>-45171.256249999999</v>
      </c>
    </row>
    <row r="66" spans="1:38" ht="15" thickBot="1" x14ac:dyDescent="0.35">
      <c r="A66" s="5" t="s">
        <v>347</v>
      </c>
      <c r="B66" s="6">
        <v>8.08</v>
      </c>
      <c r="C66" s="5">
        <v>9.09</v>
      </c>
      <c r="D66" s="6">
        <v>6.53</v>
      </c>
      <c r="E66" s="5">
        <v>1.28</v>
      </c>
      <c r="F66" s="5">
        <v>5.31</v>
      </c>
      <c r="G66" s="5">
        <v>4.6500000000000004</v>
      </c>
      <c r="H66" s="5">
        <v>3.64</v>
      </c>
      <c r="J66" s="5" t="s">
        <v>347</v>
      </c>
      <c r="K66" s="11">
        <f>+ROUND(LN(B66/B67),6)</f>
        <v>8.7010000000000004E-3</v>
      </c>
      <c r="L66" s="11">
        <f>+ROUND(LN(C66/C67),6)</f>
        <v>-1.1000000000000001E-3</v>
      </c>
      <c r="M66" s="11">
        <f>+ROUND(LN(D66/D67),6)</f>
        <v>4.6049999999999997E-3</v>
      </c>
      <c r="N66" s="11">
        <f>+ROUND(LN(E66/E67),6)</f>
        <v>1.5748000000000002E-2</v>
      </c>
      <c r="O66" s="11">
        <f>+ROUND(LN(F66/F67),6)</f>
        <v>3.2538999999999998E-2</v>
      </c>
      <c r="P66" s="11">
        <f>+ROUND(LN(G66/G67),6)</f>
        <v>8.6390000000000008E-3</v>
      </c>
      <c r="Q66" s="11">
        <f>+ROUND(LN(H66/H67),6)</f>
        <v>2.751E-3</v>
      </c>
      <c r="R66" s="3"/>
      <c r="T66" s="5" t="s">
        <v>65</v>
      </c>
      <c r="U66" s="15">
        <f>+ROUND(B$3*EXP(K66),6)</f>
        <v>7.6664159999999999</v>
      </c>
      <c r="V66" s="15">
        <f>+ROUND(C$3*EXP(L66),6)</f>
        <v>9.3397210000000008</v>
      </c>
      <c r="W66" s="15">
        <f>+ROUND(D$3*EXP(M66),6)</f>
        <v>2.7827850000000001</v>
      </c>
      <c r="X66" s="15">
        <f>+ROUND(E$3*EXP(N66),6)</f>
        <v>1.1682539999999999</v>
      </c>
      <c r="Y66" s="15">
        <f>+ROUND(F$3*EXP(O66),6)</f>
        <v>5.1447089999999998</v>
      </c>
      <c r="Z66" s="15">
        <f>+ROUND(G$3*EXP(P66),6)</f>
        <v>4.3675689999999996</v>
      </c>
      <c r="AA66" s="15">
        <f>+ROUND(H$3*EXP(Q66),6)</f>
        <v>3.4294210000000001</v>
      </c>
      <c r="AB66" s="1">
        <v>64</v>
      </c>
      <c r="AC66" s="5" t="s">
        <v>65</v>
      </c>
      <c r="AD66" s="16">
        <f>+ROUND(Pozisyon!$U$4*('Data - Simülasyon- P&amp;L'!U66-'Data - Simülasyon- P&amp;L'!B$3),6)</f>
        <v>9563.9040000000005</v>
      </c>
      <c r="AE66" s="16">
        <f>+ROUND(Pozisyon!$U$5*('Data - Simülasyon- P&amp;L'!V66-'Data - Simülasyon- P&amp;L'!C$3),6)</f>
        <v>-256.97500000000002</v>
      </c>
      <c r="AF66" s="16">
        <f>+ROUND(Pozisyon!$U$6*('Data - Simülasyon- P&amp;L'!W66-'Data - Simülasyon- P&amp;L'!D$3),6)</f>
        <v>239.71875</v>
      </c>
      <c r="AG66" s="16">
        <f>+ROUND(Pozisyon!$U$7*('Data - Simülasyon- P&amp;L'!X66-'Data - Simülasyon- P&amp;L'!E$3),6)</f>
        <v>6443.6620000000003</v>
      </c>
      <c r="AH66" s="16">
        <f>+ROUND(Pozisyon!$U$8*('Data - Simülasyon- P&amp;L'!Y66-'Data - Simülasyon- P&amp;L'!F$3),6)</f>
        <v>35247.726000000002</v>
      </c>
      <c r="AI66" s="16">
        <f>+ROUND(Pozisyon!$U$9*('Data - Simülasyon- P&amp;L'!Z66-'Data - Simülasyon- P&amp;L'!G$3),6)</f>
        <v>11308.269</v>
      </c>
      <c r="AJ66" s="16">
        <f>+ROUND(Pozisyon!$U$10*('Data - Simülasyon- P&amp;L'!AA66-'Data - Simülasyon- P&amp;L'!H$3),6)</f>
        <v>3306.7710000000002</v>
      </c>
      <c r="AK66" s="16">
        <f>+SUM(AD66:AJ66)</f>
        <v>65853.075750000004</v>
      </c>
      <c r="AL66" s="16">
        <f>+SMALL($AK$3:$AK$254,AB66)</f>
        <v>-45149.19425</v>
      </c>
    </row>
    <row r="67" spans="1:38" ht="15" thickBot="1" x14ac:dyDescent="0.35">
      <c r="A67" s="5" t="s">
        <v>348</v>
      </c>
      <c r="B67" s="6">
        <v>8.01</v>
      </c>
      <c r="C67" s="5">
        <v>9.1</v>
      </c>
      <c r="D67" s="6">
        <v>6.5</v>
      </c>
      <c r="E67" s="5">
        <v>1.26</v>
      </c>
      <c r="F67" s="5">
        <v>5.14</v>
      </c>
      <c r="G67" s="5">
        <v>4.6100000000000003</v>
      </c>
      <c r="H67" s="5">
        <v>3.63</v>
      </c>
      <c r="J67" s="5" t="s">
        <v>348</v>
      </c>
      <c r="K67" s="11">
        <f>+ROUND(LN(B67/B68),6)</f>
        <v>-3.738E-3</v>
      </c>
      <c r="L67" s="11">
        <f>+ROUND(LN(C67/C68),6)</f>
        <v>-6.5719999999999997E-3</v>
      </c>
      <c r="M67" s="11">
        <f>+ROUND(LN(D67/D68),6)</f>
        <v>-7.8384999999999996E-2</v>
      </c>
      <c r="N67" s="11">
        <f>+ROUND(LN(E67/E68),6)</f>
        <v>0</v>
      </c>
      <c r="O67" s="11">
        <f>+ROUND(LN(F67/F68),6)</f>
        <v>-1.944E-3</v>
      </c>
      <c r="P67" s="11">
        <f>+ROUND(LN(G67/G68),6)</f>
        <v>0</v>
      </c>
      <c r="Q67" s="11">
        <f>+ROUND(LN(H67/H68),6)</f>
        <v>-8.2299999999999995E-3</v>
      </c>
      <c r="R67" s="3"/>
      <c r="T67" s="5" t="s">
        <v>66</v>
      </c>
      <c r="U67" s="15">
        <f>+ROUND(B$3*EXP(K67),6)</f>
        <v>7.571644</v>
      </c>
      <c r="V67" s="15">
        <f>+ROUND(C$3*EXP(L67),6)</f>
        <v>9.2887529999999998</v>
      </c>
      <c r="W67" s="15">
        <f>+ROUND(D$3*EXP(M67),6)</f>
        <v>2.5611649999999999</v>
      </c>
      <c r="X67" s="15">
        <f>+ROUND(E$3*EXP(N67),6)</f>
        <v>1.1499999999999999</v>
      </c>
      <c r="Y67" s="15">
        <f>+ROUND(F$3*EXP(O67),6)</f>
        <v>4.9703280000000003</v>
      </c>
      <c r="Z67" s="15">
        <f>+ROUND(G$3*EXP(P67),6)</f>
        <v>4.33</v>
      </c>
      <c r="AA67" s="15">
        <f>+ROUND(H$3*EXP(Q67),6)</f>
        <v>3.391969</v>
      </c>
      <c r="AB67" s="1">
        <v>65</v>
      </c>
      <c r="AC67" s="5" t="s">
        <v>66</v>
      </c>
      <c r="AD67" s="16">
        <f>+ROUND(Pozisyon!$U$4*('Data - Simülasyon- P&amp;L'!U67-'Data - Simülasyon- P&amp;L'!B$3),6)</f>
        <v>-4083.2640000000001</v>
      </c>
      <c r="AE67" s="16">
        <f>+ROUND(Pozisyon!$U$5*('Data - Simülasyon- P&amp;L'!V67-'Data - Simülasyon- P&amp;L'!C$3),6)</f>
        <v>-1531.175</v>
      </c>
      <c r="AF67" s="16">
        <f>+ROUND(Pozisyon!$U$6*('Data - Simülasyon- P&amp;L'!W67-'Data - Simülasyon- P&amp;L'!D$3),6)</f>
        <v>-3915.65625</v>
      </c>
      <c r="AG67" s="16">
        <f>+ROUND(Pozisyon!$U$7*('Data - Simülasyon- P&amp;L'!X67-'Data - Simülasyon- P&amp;L'!E$3),6)</f>
        <v>0</v>
      </c>
      <c r="AH67" s="16">
        <f>+ROUND(Pozisyon!$U$8*('Data - Simülasyon- P&amp;L'!Y67-'Data - Simülasyon- P&amp;L'!F$3),6)</f>
        <v>-2069.808</v>
      </c>
      <c r="AI67" s="16">
        <f>+ROUND(Pozisyon!$U$9*('Data - Simülasyon- P&amp;L'!Z67-'Data - Simülasyon- P&amp;L'!G$3),6)</f>
        <v>0</v>
      </c>
      <c r="AJ67" s="16">
        <f>+ROUND(Pozisyon!$U$10*('Data - Simülasyon- P&amp;L'!AA67-'Data - Simülasyon- P&amp;L'!H$3),6)</f>
        <v>-9838.8809999999994</v>
      </c>
      <c r="AK67" s="16">
        <f>+SUM(AD67:AJ67)</f>
        <v>-21438.784249999997</v>
      </c>
      <c r="AL67" s="16">
        <f>+SMALL($AK$3:$AK$254,AB67)</f>
        <v>-44401.371000000006</v>
      </c>
    </row>
    <row r="68" spans="1:38" ht="15" thickBot="1" x14ac:dyDescent="0.35">
      <c r="A68" s="5" t="s">
        <v>349</v>
      </c>
      <c r="B68" s="6">
        <v>8.0399999999999991</v>
      </c>
      <c r="C68" s="5">
        <v>9.16</v>
      </c>
      <c r="D68" s="6">
        <v>7.03</v>
      </c>
      <c r="E68" s="5">
        <v>1.26</v>
      </c>
      <c r="F68" s="5">
        <v>5.15</v>
      </c>
      <c r="G68" s="5">
        <v>4.6100000000000003</v>
      </c>
      <c r="H68" s="5">
        <v>3.66</v>
      </c>
      <c r="J68" s="5" t="s">
        <v>349</v>
      </c>
      <c r="K68" s="11">
        <f>+ROUND(LN(B68/B69),6)</f>
        <v>7.4910000000000003E-3</v>
      </c>
      <c r="L68" s="11">
        <f>+ROUND(LN(C68/C69),6)</f>
        <v>3.2799999999999999E-3</v>
      </c>
      <c r="M68" s="11">
        <f>+ROUND(LN(D68/D69),6)</f>
        <v>5.4066999999999997E-2</v>
      </c>
      <c r="N68" s="11">
        <f>+ROUND(LN(E68/E69),6)</f>
        <v>-7.9050000000000006E-3</v>
      </c>
      <c r="O68" s="11">
        <f>+ROUND(LN(F68/F69),6)</f>
        <v>1.944E-3</v>
      </c>
      <c r="P68" s="11">
        <f>+ROUND(LN(G68/G69),6)</f>
        <v>0</v>
      </c>
      <c r="Q68" s="11">
        <f>+ROUND(LN(H68/H69),6)</f>
        <v>-2.7290000000000001E-3</v>
      </c>
      <c r="R68" s="3"/>
      <c r="T68" s="5" t="s">
        <v>67</v>
      </c>
      <c r="U68" s="15">
        <f>+ROUND(B$3*EXP(K68),6)</f>
        <v>7.6571449999999999</v>
      </c>
      <c r="V68" s="15">
        <f>+ROUND(C$3*EXP(L68),6)</f>
        <v>9.3807179999999999</v>
      </c>
      <c r="W68" s="15">
        <f>+ROUND(D$3*EXP(M68),6)</f>
        <v>2.9238879999999998</v>
      </c>
      <c r="X68" s="15">
        <f>+ROUND(E$3*EXP(N68),6)</f>
        <v>1.1409450000000001</v>
      </c>
      <c r="Y68" s="15">
        <f>+ROUND(F$3*EXP(O68),6)</f>
        <v>4.9896909999999997</v>
      </c>
      <c r="Z68" s="15">
        <f>+ROUND(G$3*EXP(P68),6)</f>
        <v>4.33</v>
      </c>
      <c r="AA68" s="15">
        <f>+ROUND(H$3*EXP(Q68),6)</f>
        <v>3.4106800000000002</v>
      </c>
      <c r="AB68" s="1">
        <v>66</v>
      </c>
      <c r="AC68" s="5" t="s">
        <v>67</v>
      </c>
      <c r="AD68" s="16">
        <f>+ROUND(Pozisyon!$U$4*('Data - Simülasyon- P&amp;L'!U68-'Data - Simülasyon- P&amp;L'!B$3),6)</f>
        <v>8228.8799999999992</v>
      </c>
      <c r="AE68" s="16">
        <f>+ROUND(Pozisyon!$U$5*('Data - Simülasyon- P&amp;L'!V68-'Data - Simülasyon- P&amp;L'!C$3),6)</f>
        <v>767.95</v>
      </c>
      <c r="AF68" s="16">
        <f>+ROUND(Pozisyon!$U$6*('Data - Simülasyon- P&amp;L'!W68-'Data - Simülasyon- P&amp;L'!D$3),6)</f>
        <v>2885.4</v>
      </c>
      <c r="AG68" s="16">
        <f>+ROUND(Pozisyon!$U$7*('Data - Simülasyon- P&amp;L'!X68-'Data - Simülasyon- P&amp;L'!E$3),6)</f>
        <v>-3196.415</v>
      </c>
      <c r="AH68" s="16">
        <f>+ROUND(Pozisyon!$U$8*('Data - Simülasyon- P&amp;L'!Y68-'Data - Simülasyon- P&amp;L'!F$3),6)</f>
        <v>2073.8739999999998</v>
      </c>
      <c r="AI68" s="16">
        <f>+ROUND(Pozisyon!$U$9*('Data - Simülasyon- P&amp;L'!Z68-'Data - Simülasyon- P&amp;L'!G$3),6)</f>
        <v>0</v>
      </c>
      <c r="AJ68" s="16">
        <f>+ROUND(Pozisyon!$U$10*('Data - Simülasyon- P&amp;L'!AA68-'Data - Simülasyon- P&amp;L'!H$3),6)</f>
        <v>-3271.32</v>
      </c>
      <c r="AK68" s="16">
        <f>+SUM(AD68:AJ68)</f>
        <v>7488.3689999999988</v>
      </c>
      <c r="AL68" s="16">
        <f>+SMALL($AK$3:$AK$254,AB68)</f>
        <v>-44266.032749999998</v>
      </c>
    </row>
    <row r="69" spans="1:38" ht="15" thickBot="1" x14ac:dyDescent="0.35">
      <c r="A69" s="5" t="s">
        <v>350</v>
      </c>
      <c r="B69" s="6">
        <v>7.98</v>
      </c>
      <c r="C69" s="5">
        <v>9.1300000000000008</v>
      </c>
      <c r="D69" s="6">
        <v>6.66</v>
      </c>
      <c r="E69" s="5">
        <v>1.27</v>
      </c>
      <c r="F69" s="5">
        <v>5.14</v>
      </c>
      <c r="G69" s="5">
        <v>4.6100000000000003</v>
      </c>
      <c r="H69" s="5">
        <v>3.67</v>
      </c>
      <c r="J69" s="5" t="s">
        <v>350</v>
      </c>
      <c r="K69" s="11">
        <f>+ROUND(LN(B69/B70),6)</f>
        <v>-7.4910000000000003E-3</v>
      </c>
      <c r="L69" s="11">
        <f>+ROUND(LN(C69/C70),6)</f>
        <v>5.4920000000000004E-3</v>
      </c>
      <c r="M69" s="11">
        <f>+ROUND(LN(D69/D70),6)</f>
        <v>-4.4939999999999997E-3</v>
      </c>
      <c r="N69" s="11">
        <f>+ROUND(LN(E69/E70),6)</f>
        <v>-7.8429999999999993E-3</v>
      </c>
      <c r="O69" s="11">
        <f>+ROUND(LN(F69/F70),6)</f>
        <v>-1.944E-3</v>
      </c>
      <c r="P69" s="11">
        <f>+ROUND(LN(G69/G70),6)</f>
        <v>0</v>
      </c>
      <c r="Q69" s="11">
        <f>+ROUND(LN(H69/H70),6)</f>
        <v>-1.0840000000000001E-2</v>
      </c>
      <c r="R69" s="3"/>
      <c r="T69" s="5" t="s">
        <v>68</v>
      </c>
      <c r="U69" s="15">
        <f>+ROUND(B$3*EXP(K69),6)</f>
        <v>7.5432810000000003</v>
      </c>
      <c r="V69" s="15">
        <f>+ROUND(C$3*EXP(L69),6)</f>
        <v>9.401491</v>
      </c>
      <c r="W69" s="15">
        <f>+ROUND(D$3*EXP(M69),6)</f>
        <v>2.7575799999999999</v>
      </c>
      <c r="X69" s="15">
        <f>+ROUND(E$3*EXP(N69),6)</f>
        <v>1.141016</v>
      </c>
      <c r="Y69" s="15">
        <f>+ROUND(F$3*EXP(O69),6)</f>
        <v>4.9703280000000003</v>
      </c>
      <c r="Z69" s="15">
        <f>+ROUND(G$3*EXP(P69),6)</f>
        <v>4.33</v>
      </c>
      <c r="AA69" s="15">
        <f>+ROUND(H$3*EXP(Q69),6)</f>
        <v>3.383127</v>
      </c>
      <c r="AB69" s="1">
        <v>67</v>
      </c>
      <c r="AC69" s="5" t="s">
        <v>68</v>
      </c>
      <c r="AD69" s="16">
        <f>+ROUND(Pozisyon!$U$4*('Data - Simülasyon- P&amp;L'!U69-'Data - Simülasyon- P&amp;L'!B$3),6)</f>
        <v>-8167.5360000000001</v>
      </c>
      <c r="AE69" s="16">
        <f>+ROUND(Pozisyon!$U$5*('Data - Simülasyon- P&amp;L'!V69-'Data - Simülasyon- P&amp;L'!C$3),6)</f>
        <v>1287.2750000000001</v>
      </c>
      <c r="AF69" s="16">
        <f>+ROUND(Pozisyon!$U$6*('Data - Simülasyon- P&amp;L'!W69-'Data - Simülasyon- P&amp;L'!D$3),6)</f>
        <v>-232.875</v>
      </c>
      <c r="AG69" s="16">
        <f>+ROUND(Pozisyon!$U$7*('Data - Simülasyon- P&amp;L'!X69-'Data - Simülasyon- P&amp;L'!E$3),6)</f>
        <v>-3171.3519999999999</v>
      </c>
      <c r="AH69" s="16">
        <f>+ROUND(Pozisyon!$U$8*('Data - Simülasyon- P&amp;L'!Y69-'Data - Simülasyon- P&amp;L'!F$3),6)</f>
        <v>-2069.808</v>
      </c>
      <c r="AI69" s="16">
        <f>+ROUND(Pozisyon!$U$9*('Data - Simülasyon- P&amp;L'!Z69-'Data - Simülasyon- P&amp;L'!G$3),6)</f>
        <v>0</v>
      </c>
      <c r="AJ69" s="16">
        <f>+ROUND(Pozisyon!$U$10*('Data - Simülasyon- P&amp;L'!AA69-'Data - Simülasyon- P&amp;L'!H$3),6)</f>
        <v>-12942.423000000001</v>
      </c>
      <c r="AK69" s="16">
        <f>+SUM(AD69:AJ69)</f>
        <v>-25296.719000000005</v>
      </c>
      <c r="AL69" s="16">
        <f>+SMALL($AK$3:$AK$254,AB69)</f>
        <v>-42853.172999999995</v>
      </c>
    </row>
    <row r="70" spans="1:38" ht="15" thickBot="1" x14ac:dyDescent="0.35">
      <c r="A70" s="5" t="s">
        <v>351</v>
      </c>
      <c r="B70" s="6">
        <v>8.0399999999999991</v>
      </c>
      <c r="C70" s="5">
        <v>9.08</v>
      </c>
      <c r="D70" s="6">
        <v>6.69</v>
      </c>
      <c r="E70" s="5">
        <v>1.28</v>
      </c>
      <c r="F70" s="5">
        <v>5.15</v>
      </c>
      <c r="G70" s="5">
        <v>4.6100000000000003</v>
      </c>
      <c r="H70" s="5">
        <v>3.71</v>
      </c>
      <c r="J70" s="5" t="s">
        <v>351</v>
      </c>
      <c r="K70" s="11">
        <f>+ROUND(LN(B70/B71),6)</f>
        <v>-1.4815E-2</v>
      </c>
      <c r="L70" s="11">
        <f>+ROUND(LN(C70/C71),6)</f>
        <v>-8.7720000000000003E-3</v>
      </c>
      <c r="M70" s="11">
        <f>+ROUND(LN(D70/D71),6)</f>
        <v>3.6533999999999997E-2</v>
      </c>
      <c r="N70" s="11">
        <f>+ROUND(LN(E70/E71),6)</f>
        <v>7.8429999999999993E-3</v>
      </c>
      <c r="O70" s="11">
        <f>+ROUND(LN(F70/F71),6)</f>
        <v>-1.9400000000000001E-3</v>
      </c>
      <c r="P70" s="11">
        <f>+ROUND(LN(G70/G71),6)</f>
        <v>-1.7205000000000002E-2</v>
      </c>
      <c r="Q70" s="11">
        <f>+ROUND(LN(H70/H71),6)</f>
        <v>-1.8692E-2</v>
      </c>
      <c r="R70" s="3"/>
      <c r="T70" s="5" t="s">
        <v>69</v>
      </c>
      <c r="U70" s="15">
        <f>+ROUND(B$3*EXP(K70),6)</f>
        <v>7.4882359999999997</v>
      </c>
      <c r="V70" s="15">
        <f>+ROUND(C$3*EXP(L70),6)</f>
        <v>9.2683400000000002</v>
      </c>
      <c r="W70" s="15">
        <f>+ROUND(D$3*EXP(M70),6)</f>
        <v>2.8730709999999999</v>
      </c>
      <c r="X70" s="15">
        <f>+ROUND(E$3*EXP(N70),6)</f>
        <v>1.1590549999999999</v>
      </c>
      <c r="Y70" s="15">
        <f>+ROUND(F$3*EXP(O70),6)</f>
        <v>4.9703480000000004</v>
      </c>
      <c r="Z70" s="15">
        <f>+ROUND(G$3*EXP(P70),6)</f>
        <v>4.2561400000000003</v>
      </c>
      <c r="AA70" s="15">
        <f>+ROUND(H$3*EXP(Q70),6)</f>
        <v>3.3566669999999998</v>
      </c>
      <c r="AB70" s="1">
        <v>68</v>
      </c>
      <c r="AC70" s="5" t="s">
        <v>69</v>
      </c>
      <c r="AD70" s="16">
        <f>+ROUND(Pozisyon!$U$4*('Data - Simülasyon- P&amp;L'!U70-'Data - Simülasyon- P&amp;L'!B$3),6)</f>
        <v>-16094.016</v>
      </c>
      <c r="AE70" s="16">
        <f>+ROUND(Pozisyon!$U$5*('Data - Simülasyon- P&amp;L'!V70-'Data - Simülasyon- P&amp;L'!C$3),6)</f>
        <v>-2041.5</v>
      </c>
      <c r="AF70" s="16">
        <f>+ROUND(Pozisyon!$U$6*('Data - Simülasyon- P&amp;L'!W70-'Data - Simülasyon- P&amp;L'!D$3),6)</f>
        <v>1932.58125</v>
      </c>
      <c r="AG70" s="16">
        <f>+ROUND(Pozisyon!$U$7*('Data - Simülasyon- P&amp;L'!X70-'Data - Simülasyon- P&amp;L'!E$3),6)</f>
        <v>3196.415</v>
      </c>
      <c r="AH70" s="16">
        <f>+ROUND(Pozisyon!$U$8*('Data - Simülasyon- P&amp;L'!Y70-'Data - Simülasyon- P&amp;L'!F$3),6)</f>
        <v>-2065.5279999999998</v>
      </c>
      <c r="AI70" s="16">
        <f>+ROUND(Pozisyon!$U$9*('Data - Simülasyon- P&amp;L'!Z70-'Data - Simülasyon- P&amp;L'!G$3),6)</f>
        <v>-22231.86</v>
      </c>
      <c r="AJ70" s="16">
        <f>+ROUND(Pozisyon!$U$10*('Data - Simülasyon- P&amp;L'!AA70-'Data - Simülasyon- P&amp;L'!H$3),6)</f>
        <v>-22229.883000000002</v>
      </c>
      <c r="AK70" s="16">
        <f>+SUM(AD70:AJ70)</f>
        <v>-59533.79075</v>
      </c>
      <c r="AL70" s="16">
        <f>+SMALL($AK$3:$AK$254,AB70)</f>
        <v>-42012.59</v>
      </c>
    </row>
    <row r="71" spans="1:38" ht="15" thickBot="1" x14ac:dyDescent="0.35">
      <c r="A71" s="5" t="s">
        <v>352</v>
      </c>
      <c r="B71" s="6">
        <v>8.16</v>
      </c>
      <c r="C71" s="5">
        <v>9.16</v>
      </c>
      <c r="D71" s="6">
        <v>6.45</v>
      </c>
      <c r="E71" s="5">
        <v>1.27</v>
      </c>
      <c r="F71" s="5">
        <v>5.16</v>
      </c>
      <c r="G71" s="5">
        <v>4.6900000000000004</v>
      </c>
      <c r="H71" s="5">
        <v>3.78</v>
      </c>
      <c r="J71" s="5" t="s">
        <v>352</v>
      </c>
      <c r="K71" s="11">
        <f>+ROUND(LN(B71/B72),6)</f>
        <v>1.3572000000000001E-2</v>
      </c>
      <c r="L71" s="11">
        <f>+ROUND(LN(C71/C72),6)</f>
        <v>1.2081E-2</v>
      </c>
      <c r="M71" s="11">
        <f>+ROUND(LN(D71/D72),6)</f>
        <v>-6.7441000000000001E-2</v>
      </c>
      <c r="N71" s="11">
        <f>+ROUND(LN(E71/E72),6)</f>
        <v>-1.5625E-2</v>
      </c>
      <c r="O71" s="11">
        <f>+ROUND(LN(F71/F72),6)</f>
        <v>5.8310000000000002E-3</v>
      </c>
      <c r="P71" s="11">
        <f>+ROUND(LN(G71/G72),6)</f>
        <v>4.3580000000000001E-2</v>
      </c>
      <c r="Q71" s="11">
        <f>+ROUND(LN(H71/H72),6)</f>
        <v>2.1391E-2</v>
      </c>
      <c r="R71" s="3"/>
      <c r="T71" s="5" t="s">
        <v>70</v>
      </c>
      <c r="U71" s="15">
        <f>+ROUND(B$3*EXP(K71),6)</f>
        <v>7.7038500000000001</v>
      </c>
      <c r="V71" s="15">
        <f>+ROUND(C$3*EXP(L71),6)</f>
        <v>9.4636420000000001</v>
      </c>
      <c r="W71" s="15">
        <f>+ROUND(D$3*EXP(M71),6)</f>
        <v>2.5893489999999999</v>
      </c>
      <c r="X71" s="15">
        <f>+ROUND(E$3*EXP(N71),6)</f>
        <v>1.132171</v>
      </c>
      <c r="Y71" s="15">
        <f>+ROUND(F$3*EXP(O71),6)</f>
        <v>5.0091229999999998</v>
      </c>
      <c r="Z71" s="15">
        <f>+ROUND(G$3*EXP(P71),6)</f>
        <v>4.5228739999999998</v>
      </c>
      <c r="AA71" s="15">
        <f>+ROUND(H$3*EXP(Q71),6)</f>
        <v>3.4939450000000001</v>
      </c>
      <c r="AB71" s="1">
        <v>69</v>
      </c>
      <c r="AC71" s="5" t="s">
        <v>70</v>
      </c>
      <c r="AD71" s="16">
        <f>+ROUND(Pozisyon!$U$4*('Data - Simülasyon- P&amp;L'!U71-'Data - Simülasyon- P&amp;L'!B$3),6)</f>
        <v>14954.4</v>
      </c>
      <c r="AE71" s="16">
        <f>+ROUND(Pozisyon!$U$5*('Data - Simülasyon- P&amp;L'!V71-'Data - Simülasyon- P&amp;L'!C$3),6)</f>
        <v>2841.05</v>
      </c>
      <c r="AF71" s="16">
        <f>+ROUND(Pozisyon!$U$6*('Data - Simülasyon- P&amp;L'!W71-'Data - Simülasyon- P&amp;L'!D$3),6)</f>
        <v>-3387.2062500000002</v>
      </c>
      <c r="AG71" s="16">
        <f>+ROUND(Pozisyon!$U$7*('Data - Simülasyon- P&amp;L'!X71-'Data - Simülasyon- P&amp;L'!E$3),6)</f>
        <v>-6293.6369999999997</v>
      </c>
      <c r="AH71" s="16">
        <f>+ROUND(Pozisyon!$U$8*('Data - Simülasyon- P&amp;L'!Y71-'Data - Simülasyon- P&amp;L'!F$3),6)</f>
        <v>6232.3220000000001</v>
      </c>
      <c r="AI71" s="16">
        <f>+ROUND(Pozisyon!$U$9*('Data - Simülasyon- P&amp;L'!Z71-'Data - Simülasyon- P&amp;L'!G$3),6)</f>
        <v>58055.074000000001</v>
      </c>
      <c r="AJ71" s="16">
        <f>+ROUND(Pozisyon!$U$10*('Data - Simülasyon- P&amp;L'!AA71-'Data - Simülasyon- P&amp;L'!H$3),6)</f>
        <v>25954.695</v>
      </c>
      <c r="AK71" s="16">
        <f>+SUM(AD71:AJ71)</f>
        <v>98356.697749999992</v>
      </c>
      <c r="AL71" s="16">
        <f>+SMALL($AK$3:$AK$254,AB71)</f>
        <v>-41095.721750000004</v>
      </c>
    </row>
    <row r="72" spans="1:38" ht="15" thickBot="1" x14ac:dyDescent="0.35">
      <c r="A72" s="5" t="s">
        <v>353</v>
      </c>
      <c r="B72" s="6">
        <v>8.0500000000000007</v>
      </c>
      <c r="C72" s="5">
        <v>9.0500000000000007</v>
      </c>
      <c r="D72" s="6">
        <v>6.9</v>
      </c>
      <c r="E72" s="5">
        <v>1.29</v>
      </c>
      <c r="F72" s="5">
        <v>5.13</v>
      </c>
      <c r="G72" s="5">
        <v>4.49</v>
      </c>
      <c r="H72" s="5">
        <v>3.7</v>
      </c>
      <c r="J72" s="5" t="s">
        <v>353</v>
      </c>
      <c r="K72" s="11">
        <f>+ROUND(LN(B72/B73),6)</f>
        <v>1.7544000000000001E-2</v>
      </c>
      <c r="L72" s="11">
        <f>+ROUND(LN(C72/C73),6)</f>
        <v>7.7650000000000002E-3</v>
      </c>
      <c r="M72" s="11">
        <f>+ROUND(LN(D72/D73),6)</f>
        <v>4.9008000000000003E-2</v>
      </c>
      <c r="N72" s="11">
        <f>+ROUND(LN(E72/E73),6)</f>
        <v>-7.7219999999999997E-3</v>
      </c>
      <c r="O72" s="11">
        <f>+ROUND(LN(F72/F73),6)</f>
        <v>1.951E-3</v>
      </c>
      <c r="P72" s="11">
        <f>+ROUND(LN(G72/G73),6)</f>
        <v>1.7978000000000001E-2</v>
      </c>
      <c r="Q72" s="11">
        <f>+ROUND(LN(H72/H73),6)</f>
        <v>1.6348999999999999E-2</v>
      </c>
      <c r="R72" s="3"/>
      <c r="T72" s="5" t="s">
        <v>71</v>
      </c>
      <c r="U72" s="15">
        <f>+ROUND(B$3*EXP(K72),6)</f>
        <v>7.7345110000000004</v>
      </c>
      <c r="V72" s="15">
        <f>+ROUND(C$3*EXP(L72),6)</f>
        <v>9.4228850000000008</v>
      </c>
      <c r="W72" s="15">
        <f>+ROUND(D$3*EXP(M72),6)</f>
        <v>2.9091339999999999</v>
      </c>
      <c r="X72" s="15">
        <f>+ROUND(E$3*EXP(N72),6)</f>
        <v>1.141154</v>
      </c>
      <c r="Y72" s="15">
        <f>+ROUND(F$3*EXP(O72),6)</f>
        <v>4.989725</v>
      </c>
      <c r="Z72" s="15">
        <f>+ROUND(G$3*EXP(P72),6)</f>
        <v>4.4085489999999998</v>
      </c>
      <c r="AA72" s="15">
        <f>+ROUND(H$3*EXP(Q72),6)</f>
        <v>3.4763730000000002</v>
      </c>
      <c r="AB72" s="1">
        <v>70</v>
      </c>
      <c r="AC72" s="5" t="s">
        <v>71</v>
      </c>
      <c r="AD72" s="16">
        <f>+ROUND(Pozisyon!$U$4*('Data - Simülasyon- P&amp;L'!U72-'Data - Simülasyon- P&amp;L'!B$3),6)</f>
        <v>19369.583999999999</v>
      </c>
      <c r="AE72" s="16">
        <f>+ROUND(Pozisyon!$U$5*('Data - Simülasyon- P&amp;L'!V72-'Data - Simülasyon- P&amp;L'!C$3),6)</f>
        <v>1822.125</v>
      </c>
      <c r="AF72" s="16">
        <f>+ROUND(Pozisyon!$U$6*('Data - Simülasyon- P&amp;L'!W72-'Data - Simülasyon- P&amp;L'!D$3),6)</f>
        <v>2608.7624999999998</v>
      </c>
      <c r="AG72" s="16">
        <f>+ROUND(Pozisyon!$U$7*('Data - Simülasyon- P&amp;L'!X72-'Data - Simülasyon- P&amp;L'!E$3),6)</f>
        <v>-3122.6379999999999</v>
      </c>
      <c r="AH72" s="16">
        <f>+ROUND(Pozisyon!$U$8*('Data - Simülasyon- P&amp;L'!Y72-'Data - Simülasyon- P&amp;L'!F$3),6)</f>
        <v>2081.15</v>
      </c>
      <c r="AI72" s="16">
        <f>+ROUND(Pozisyon!$U$9*('Data - Simülasyon- P&amp;L'!Z72-'Data - Simülasyon- P&amp;L'!G$3),6)</f>
        <v>23643.249</v>
      </c>
      <c r="AJ72" s="16">
        <f>+ROUND(Pozisyon!$U$10*('Data - Simülasyon- P&amp;L'!AA72-'Data - Simülasyon- P&amp;L'!H$3),6)</f>
        <v>19786.922999999999</v>
      </c>
      <c r="AK72" s="16">
        <f>+SUM(AD72:AJ72)</f>
        <v>66189.155499999993</v>
      </c>
      <c r="AL72" s="16">
        <f>+SMALL($AK$3:$AK$254,AB72)</f>
        <v>-39838.973750000005</v>
      </c>
    </row>
    <row r="73" spans="1:38" ht="15" thickBot="1" x14ac:dyDescent="0.35">
      <c r="A73" s="5" t="s">
        <v>354</v>
      </c>
      <c r="B73" s="6">
        <v>7.91</v>
      </c>
      <c r="C73" s="5">
        <v>8.98</v>
      </c>
      <c r="D73" s="6">
        <v>6.57</v>
      </c>
      <c r="E73" s="5">
        <v>1.3</v>
      </c>
      <c r="F73" s="5">
        <v>5.12</v>
      </c>
      <c r="G73" s="5">
        <v>4.41</v>
      </c>
      <c r="H73" s="5">
        <v>3.64</v>
      </c>
      <c r="J73" s="5" t="s">
        <v>354</v>
      </c>
      <c r="K73" s="11">
        <f>+ROUND(LN(B73/B74),6)</f>
        <v>-6.0103999999999998E-2</v>
      </c>
      <c r="L73" s="11">
        <f>+ROUND(LN(C73/C74),6)</f>
        <v>-8.4317000000000003E-2</v>
      </c>
      <c r="M73" s="11">
        <f>+ROUND(LN(D73/D74),6)</f>
        <v>1.5337999999999999E-2</v>
      </c>
      <c r="N73" s="11">
        <f>+ROUND(LN(E73/E74),6)</f>
        <v>-4.512E-2</v>
      </c>
      <c r="O73" s="11">
        <f>+ROUND(LN(F73/F74),6)</f>
        <v>-4.3942000000000002E-2</v>
      </c>
      <c r="P73" s="11">
        <f>+ROUND(LN(G73/G74),6)</f>
        <v>-5.7284000000000002E-2</v>
      </c>
      <c r="Q73" s="11">
        <f>+ROUND(LN(H73/H74),6)</f>
        <v>-5.3489000000000002E-2</v>
      </c>
      <c r="R73" s="3"/>
      <c r="T73" s="5" t="s">
        <v>72</v>
      </c>
      <c r="U73" s="15">
        <f>+ROUND(B$3*EXP(K73),6)</f>
        <v>7.1566660000000004</v>
      </c>
      <c r="V73" s="15">
        <f>+ROUND(C$3*EXP(L73),6)</f>
        <v>8.5939580000000007</v>
      </c>
      <c r="W73" s="15">
        <f>+ROUND(D$3*EXP(M73),6)</f>
        <v>2.8128139999999999</v>
      </c>
      <c r="X73" s="15">
        <f>+ROUND(E$3*EXP(N73),6)</f>
        <v>1.0992649999999999</v>
      </c>
      <c r="Y73" s="15">
        <f>+ROUND(F$3*EXP(O73),6)</f>
        <v>4.7659070000000003</v>
      </c>
      <c r="Z73" s="15">
        <f>+ROUND(G$3*EXP(P73),6)</f>
        <v>4.0889309999999996</v>
      </c>
      <c r="AA73" s="15">
        <f>+ROUND(H$3*EXP(Q73),6)</f>
        <v>3.2418740000000001</v>
      </c>
      <c r="AB73" s="1">
        <v>71</v>
      </c>
      <c r="AC73" s="5" t="s">
        <v>72</v>
      </c>
      <c r="AD73" s="16">
        <f>+ROUND(Pozisyon!$U$4*('Data - Simülasyon- P&amp;L'!U73-'Data - Simülasyon- P&amp;L'!B$3),6)</f>
        <v>-63840.095999999998</v>
      </c>
      <c r="AE73" s="16">
        <f>+ROUND(Pozisyon!$U$5*('Data - Simülasyon- P&amp;L'!V73-'Data - Simülasyon- P&amp;L'!C$3),6)</f>
        <v>-18901.05</v>
      </c>
      <c r="AF73" s="16">
        <f>+ROUND(Pozisyon!$U$6*('Data - Simülasyon- P&amp;L'!W73-'Data - Simülasyon- P&amp;L'!D$3),6)</f>
        <v>802.76250000000005</v>
      </c>
      <c r="AG73" s="16">
        <f>+ROUND(Pozisyon!$U$7*('Data - Simülasyon- P&amp;L'!X73-'Data - Simülasyon- P&amp;L'!E$3),6)</f>
        <v>-17909.455000000002</v>
      </c>
      <c r="AH73" s="16">
        <f>+ROUND(Pozisyon!$U$8*('Data - Simülasyon- P&amp;L'!Y73-'Data - Simülasyon- P&amp;L'!F$3),6)</f>
        <v>-45815.902000000002</v>
      </c>
      <c r="AI73" s="16">
        <f>+ROUND(Pozisyon!$U$9*('Data - Simülasyon- P&amp;L'!Z73-'Data - Simülasyon- P&amp;L'!G$3),6)</f>
        <v>-72561.769</v>
      </c>
      <c r="AJ73" s="16">
        <f>+ROUND(Pozisyon!$U$10*('Data - Simülasyon- P&amp;L'!AA73-'Data - Simülasyon- P&amp;L'!H$3),6)</f>
        <v>-62522.226000000002</v>
      </c>
      <c r="AK73" s="16">
        <f>+SUM(AD73:AJ73)</f>
        <v>-280747.73550000001</v>
      </c>
      <c r="AL73" s="16">
        <f>+SMALL($AK$3:$AK$254,AB73)</f>
        <v>-39221.713750000003</v>
      </c>
    </row>
    <row r="74" spans="1:38" ht="15" thickBot="1" x14ac:dyDescent="0.35">
      <c r="A74" s="5" t="s">
        <v>355</v>
      </c>
      <c r="B74" s="6">
        <v>8.4</v>
      </c>
      <c r="C74" s="5">
        <v>9.77</v>
      </c>
      <c r="D74" s="6">
        <v>6.47</v>
      </c>
      <c r="E74" s="5">
        <v>1.36</v>
      </c>
      <c r="F74" s="5">
        <v>5.35</v>
      </c>
      <c r="G74" s="5">
        <v>4.67</v>
      </c>
      <c r="H74" s="5">
        <v>3.84</v>
      </c>
      <c r="J74" s="5" t="s">
        <v>355</v>
      </c>
      <c r="K74" s="11">
        <f>+ROUND(LN(B74/B75),6)</f>
        <v>-1.1834000000000001E-2</v>
      </c>
      <c r="L74" s="11">
        <f>+ROUND(LN(C74/C75),6)</f>
        <v>-1.1195999999999999E-2</v>
      </c>
      <c r="M74" s="11">
        <f>+ROUND(LN(D74/D75),6)</f>
        <v>-0.13295199999999999</v>
      </c>
      <c r="N74" s="11">
        <f>+ROUND(LN(E74/E75),6)</f>
        <v>0</v>
      </c>
      <c r="O74" s="11">
        <f>+ROUND(LN(F74/F75),6)</f>
        <v>7.5050000000000004E-3</v>
      </c>
      <c r="P74" s="11">
        <f>+ROUND(LN(G74/G75),6)</f>
        <v>-4.274E-3</v>
      </c>
      <c r="Q74" s="11">
        <f>+ROUND(LN(H74/H75),6)</f>
        <v>-1.0363000000000001E-2</v>
      </c>
      <c r="R74" s="3"/>
      <c r="T74" s="5" t="s">
        <v>73</v>
      </c>
      <c r="U74" s="15">
        <f>+ROUND(B$3*EXP(K74),6)</f>
        <v>7.5105919999999999</v>
      </c>
      <c r="V74" s="15">
        <f>+ROUND(C$3*EXP(L74),6)</f>
        <v>9.2459009999999999</v>
      </c>
      <c r="W74" s="15">
        <f>+ROUND(D$3*EXP(M74),6)</f>
        <v>2.4251550000000002</v>
      </c>
      <c r="X74" s="15">
        <f>+ROUND(E$3*EXP(N74),6)</f>
        <v>1.1499999999999999</v>
      </c>
      <c r="Y74" s="15">
        <f>+ROUND(F$3*EXP(O74),6)</f>
        <v>5.0175159999999996</v>
      </c>
      <c r="Z74" s="15">
        <f>+ROUND(G$3*EXP(P74),6)</f>
        <v>4.3115329999999998</v>
      </c>
      <c r="AA74" s="15">
        <f>+ROUND(H$3*EXP(Q74),6)</f>
        <v>3.3847420000000001</v>
      </c>
      <c r="AB74" s="1">
        <v>72</v>
      </c>
      <c r="AC74" s="5" t="s">
        <v>73</v>
      </c>
      <c r="AD74" s="16">
        <f>+ROUND(Pozisyon!$U$4*('Data - Simülasyon- P&amp;L'!U74-'Data - Simülasyon- P&amp;L'!B$3),6)</f>
        <v>-12874.752</v>
      </c>
      <c r="AE74" s="16">
        <f>+ROUND(Pozisyon!$U$5*('Data - Simülasyon- P&amp;L'!V74-'Data - Simülasyon- P&amp;L'!C$3),6)</f>
        <v>-2602.4749999999999</v>
      </c>
      <c r="AF74" s="16">
        <f>+ROUND(Pozisyon!$U$6*('Data - Simülasyon- P&amp;L'!W74-'Data - Simülasyon- P&amp;L'!D$3),6)</f>
        <v>-6465.84375</v>
      </c>
      <c r="AG74" s="16">
        <f>+ROUND(Pozisyon!$U$7*('Data - Simülasyon- P&amp;L'!X74-'Data - Simülasyon- P&amp;L'!E$3),6)</f>
        <v>0</v>
      </c>
      <c r="AH74" s="16">
        <f>+ROUND(Pozisyon!$U$8*('Data - Simülasyon- P&amp;L'!Y74-'Data - Simülasyon- P&amp;L'!F$3),6)</f>
        <v>8028.424</v>
      </c>
      <c r="AI74" s="16">
        <f>+ROUND(Pozisyon!$U$9*('Data - Simülasyon- P&amp;L'!Z74-'Data - Simülasyon- P&amp;L'!G$3),6)</f>
        <v>-5558.567</v>
      </c>
      <c r="AJ74" s="16">
        <f>+ROUND(Pozisyon!$U$10*('Data - Simülasyon- P&amp;L'!AA74-'Data - Simülasyon- P&amp;L'!H$3),6)</f>
        <v>-12375.558000000001</v>
      </c>
      <c r="AK74" s="16">
        <f>+SUM(AD74:AJ74)</f>
        <v>-31848.77175</v>
      </c>
      <c r="AL74" s="16">
        <f>+SMALL($AK$3:$AK$254,AB74)</f>
        <v>-38369.678</v>
      </c>
    </row>
    <row r="75" spans="1:38" ht="15" thickBot="1" x14ac:dyDescent="0.35">
      <c r="A75" s="5" t="s">
        <v>356</v>
      </c>
      <c r="B75" s="6">
        <v>8.5</v>
      </c>
      <c r="C75" s="5">
        <v>9.8800000000000008</v>
      </c>
      <c r="D75" s="6">
        <v>7.39</v>
      </c>
      <c r="E75" s="5">
        <v>1.36</v>
      </c>
      <c r="F75" s="5">
        <v>5.31</v>
      </c>
      <c r="G75" s="5">
        <v>4.6900000000000004</v>
      </c>
      <c r="H75" s="5">
        <v>3.88</v>
      </c>
      <c r="J75" s="5" t="s">
        <v>356</v>
      </c>
      <c r="K75" s="11">
        <f>+ROUND(LN(B75/B76),6)</f>
        <v>2.5016E-2</v>
      </c>
      <c r="L75" s="11">
        <f>+ROUND(LN(C75/C76),6)</f>
        <v>3.5019000000000002E-2</v>
      </c>
      <c r="M75" s="11">
        <f>+ROUND(LN(D75/D76),6)</f>
        <v>-1.3519999999999999E-3</v>
      </c>
      <c r="N75" s="11">
        <f>+ROUND(LN(E75/E76),6)</f>
        <v>1.4815E-2</v>
      </c>
      <c r="O75" s="11">
        <f>+ROUND(LN(F75/F76),6)</f>
        <v>2.0933E-2</v>
      </c>
      <c r="P75" s="11">
        <f>+ROUND(LN(G75/G76),6)</f>
        <v>5.2527999999999998E-2</v>
      </c>
      <c r="Q75" s="11">
        <f>+ROUND(LN(H75/H76),6)</f>
        <v>3.6749999999999998E-2</v>
      </c>
      <c r="R75" s="3"/>
      <c r="T75" s="5" t="s">
        <v>74</v>
      </c>
      <c r="U75" s="15">
        <f>+ROUND(B$3*EXP(K75),6)</f>
        <v>7.7925199999999997</v>
      </c>
      <c r="V75" s="15">
        <f>+ROUND(C$3*EXP(L75),6)</f>
        <v>9.6832279999999997</v>
      </c>
      <c r="W75" s="15">
        <f>+ROUND(D$3*EXP(M75),6)</f>
        <v>2.766257</v>
      </c>
      <c r="X75" s="15">
        <f>+ROUND(E$3*EXP(N75),6)</f>
        <v>1.1671640000000001</v>
      </c>
      <c r="Y75" s="15">
        <f>+ROUND(F$3*EXP(O75),6)</f>
        <v>5.0853450000000002</v>
      </c>
      <c r="Z75" s="15">
        <f>+ROUND(G$3*EXP(P75),6)</f>
        <v>4.5635260000000004</v>
      </c>
      <c r="AA75" s="15">
        <f>+ROUND(H$3*EXP(Q75),6)</f>
        <v>3.5480230000000001</v>
      </c>
      <c r="AB75" s="1">
        <v>73</v>
      </c>
      <c r="AC75" s="5" t="s">
        <v>74</v>
      </c>
      <c r="AD75" s="16">
        <f>+ROUND(Pozisyon!$U$4*('Data - Simülasyon- P&amp;L'!U75-'Data - Simülasyon- P&amp;L'!B$3),6)</f>
        <v>27722.880000000001</v>
      </c>
      <c r="AE75" s="16">
        <f>+ROUND(Pozisyon!$U$5*('Data - Simülasyon- P&amp;L'!V75-'Data - Simülasyon- P&amp;L'!C$3),6)</f>
        <v>8330.7000000000007</v>
      </c>
      <c r="AF75" s="16">
        <f>+ROUND(Pozisyon!$U$6*('Data - Simülasyon- P&amp;L'!W75-'Data - Simülasyon- P&amp;L'!D$3),6)</f>
        <v>-70.181250000000006</v>
      </c>
      <c r="AG75" s="16">
        <f>+ROUND(Pozisyon!$U$7*('Data - Simülasyon- P&amp;L'!X75-'Data - Simülasyon- P&amp;L'!E$3),6)</f>
        <v>6058.8919999999998</v>
      </c>
      <c r="AH75" s="16">
        <f>+ROUND(Pozisyon!$U$8*('Data - Simülasyon- P&amp;L'!Y75-'Data - Simülasyon- P&amp;L'!F$3),6)</f>
        <v>22543.83</v>
      </c>
      <c r="AI75" s="16">
        <f>+ROUND(Pozisyon!$U$9*('Data - Simülasyon- P&amp;L'!Z75-'Data - Simülasyon- P&amp;L'!G$3),6)</f>
        <v>70291.326000000001</v>
      </c>
      <c r="AJ75" s="16">
        <f>+ROUND(Pozisyon!$U$10*('Data - Simülasyon- P&amp;L'!AA75-'Data - Simülasyon- P&amp;L'!H$3),6)</f>
        <v>44936.072999999997</v>
      </c>
      <c r="AK75" s="16">
        <f>+SUM(AD75:AJ75)</f>
        <v>179813.51975000001</v>
      </c>
      <c r="AL75" s="16">
        <f>+SMALL($AK$3:$AK$254,AB75)</f>
        <v>-37941.046000000002</v>
      </c>
    </row>
    <row r="76" spans="1:38" ht="15" thickBot="1" x14ac:dyDescent="0.35">
      <c r="A76" s="5" t="s">
        <v>357</v>
      </c>
      <c r="B76" s="6">
        <v>8.2899999999999991</v>
      </c>
      <c r="C76" s="5">
        <v>9.5399999999999991</v>
      </c>
      <c r="D76" s="6">
        <v>7.4</v>
      </c>
      <c r="E76" s="5">
        <v>1.34</v>
      </c>
      <c r="F76" s="5">
        <v>5.2</v>
      </c>
      <c r="G76" s="5">
        <v>4.45</v>
      </c>
      <c r="H76" s="5">
        <v>3.74</v>
      </c>
      <c r="J76" s="5" t="s">
        <v>357</v>
      </c>
      <c r="K76" s="11">
        <f>+ROUND(LN(B76/B77),6)</f>
        <v>4.8370000000000002E-3</v>
      </c>
      <c r="L76" s="11">
        <f>+ROUND(LN(C76/C77),6)</f>
        <v>2.3331000000000001E-2</v>
      </c>
      <c r="M76" s="11">
        <f>+ROUND(LN(D76/D77),6)</f>
        <v>8.1410000000000007E-3</v>
      </c>
      <c r="N76" s="11">
        <f>+ROUND(LN(E76/E77),6)</f>
        <v>7.4910000000000003E-3</v>
      </c>
      <c r="O76" s="11">
        <f>+ROUND(LN(F76/F77),6)</f>
        <v>1.9250000000000001E-3</v>
      </c>
      <c r="P76" s="11">
        <f>+ROUND(LN(G76/G77),6)</f>
        <v>1.3575E-2</v>
      </c>
      <c r="Q76" s="11">
        <f>+ROUND(LN(H76/H77),6)</f>
        <v>1.6173E-2</v>
      </c>
      <c r="R76" s="3"/>
      <c r="T76" s="5" t="s">
        <v>75</v>
      </c>
      <c r="U76" s="15">
        <f>+ROUND(B$3*EXP(K76),6)</f>
        <v>7.6368499999999999</v>
      </c>
      <c r="V76" s="15">
        <f>+ROUND(C$3*EXP(L76),6)</f>
        <v>9.5707100000000001</v>
      </c>
      <c r="W76" s="15">
        <f>+ROUND(D$3*EXP(M76),6)</f>
        <v>2.792643</v>
      </c>
      <c r="X76" s="15">
        <f>+ROUND(E$3*EXP(N76),6)</f>
        <v>1.158647</v>
      </c>
      <c r="Y76" s="15">
        <f>+ROUND(F$3*EXP(O76),6)</f>
        <v>4.9895959999999997</v>
      </c>
      <c r="Z76" s="15">
        <f>+ROUND(G$3*EXP(P76),6)</f>
        <v>4.3891809999999998</v>
      </c>
      <c r="AA76" s="15">
        <f>+ROUND(H$3*EXP(Q76),6)</f>
        <v>3.4757609999999999</v>
      </c>
      <c r="AB76" s="1">
        <v>74</v>
      </c>
      <c r="AC76" s="5" t="s">
        <v>75</v>
      </c>
      <c r="AD76" s="16">
        <f>+ROUND(Pozisyon!$U$4*('Data - Simülasyon- P&amp;L'!U76-'Data - Simülasyon- P&amp;L'!B$3),6)</f>
        <v>5306.4</v>
      </c>
      <c r="AE76" s="16">
        <f>+ROUND(Pozisyon!$U$5*('Data - Simülasyon- P&amp;L'!V76-'Data - Simülasyon- P&amp;L'!C$3),6)</f>
        <v>5517.75</v>
      </c>
      <c r="AF76" s="16">
        <f>+ROUND(Pozisyon!$U$6*('Data - Simülasyon- P&amp;L'!W76-'Data - Simülasyon- P&amp;L'!D$3),6)</f>
        <v>424.55624999999998</v>
      </c>
      <c r="AG76" s="16">
        <f>+ROUND(Pozisyon!$U$7*('Data - Simülasyon- P&amp;L'!X76-'Data - Simülasyon- P&amp;L'!E$3),6)</f>
        <v>3052.3910000000001</v>
      </c>
      <c r="AH76" s="16">
        <f>+ROUND(Pozisyon!$U$8*('Data - Simülasyon- P&amp;L'!Y76-'Data - Simülasyon- P&amp;L'!F$3),6)</f>
        <v>2053.5439999999999</v>
      </c>
      <c r="AI76" s="16">
        <f>+ROUND(Pozisyon!$U$9*('Data - Simülasyon- P&amp;L'!Z76-'Data - Simülasyon- P&amp;L'!G$3),6)</f>
        <v>17813.481</v>
      </c>
      <c r="AJ76" s="16">
        <f>+ROUND(Pozisyon!$U$10*('Data - Simülasyon- P&amp;L'!AA76-'Data - Simülasyon- P&amp;L'!H$3),6)</f>
        <v>19572.111000000001</v>
      </c>
      <c r="AK76" s="16">
        <f>+SUM(AD76:AJ76)</f>
        <v>53740.233250000005</v>
      </c>
      <c r="AL76" s="16">
        <f>+SMALL($AK$3:$AK$254,AB76)</f>
        <v>-37756.940999999992</v>
      </c>
    </row>
    <row r="77" spans="1:38" ht="15" thickBot="1" x14ac:dyDescent="0.35">
      <c r="A77" s="5" t="s">
        <v>358</v>
      </c>
      <c r="B77" s="6">
        <v>8.25</v>
      </c>
      <c r="C77" s="5">
        <v>9.32</v>
      </c>
      <c r="D77" s="6">
        <v>7.34</v>
      </c>
      <c r="E77" s="5">
        <v>1.33</v>
      </c>
      <c r="F77" s="5">
        <v>5.19</v>
      </c>
      <c r="G77" s="5">
        <v>4.3899999999999997</v>
      </c>
      <c r="H77" s="5">
        <v>3.68</v>
      </c>
      <c r="J77" s="5" t="s">
        <v>358</v>
      </c>
      <c r="K77" s="11">
        <f>+ROUND(LN(B77/B78),6)</f>
        <v>0</v>
      </c>
      <c r="L77" s="11">
        <f>+ROUND(LN(C77/C78),6)</f>
        <v>-1.072E-3</v>
      </c>
      <c r="M77" s="11">
        <f>+ROUND(LN(D77/D78),6)</f>
        <v>0.18177699999999999</v>
      </c>
      <c r="N77" s="11">
        <f>+ROUND(LN(E77/E78),6)</f>
        <v>-7.4910000000000003E-3</v>
      </c>
      <c r="O77" s="11">
        <f>+ROUND(LN(F77/F78),6)</f>
        <v>1.9289999999999999E-3</v>
      </c>
      <c r="P77" s="11">
        <f>+ROUND(LN(G77/G78),6)</f>
        <v>0</v>
      </c>
      <c r="Q77" s="11">
        <f>+ROUND(LN(H77/H78),6)</f>
        <v>0</v>
      </c>
      <c r="R77" s="3"/>
      <c r="T77" s="5" t="s">
        <v>76</v>
      </c>
      <c r="U77" s="15">
        <f>+ROUND(B$3*EXP(K77),6)</f>
        <v>7.6</v>
      </c>
      <c r="V77" s="15">
        <f>+ROUND(C$3*EXP(L77),6)</f>
        <v>9.3399819999999991</v>
      </c>
      <c r="W77" s="15">
        <f>+ROUND(D$3*EXP(M77),6)</f>
        <v>3.32219</v>
      </c>
      <c r="X77" s="15">
        <f>+ROUND(E$3*EXP(N77),6)</f>
        <v>1.141418</v>
      </c>
      <c r="Y77" s="15">
        <f>+ROUND(F$3*EXP(O77),6)</f>
        <v>4.9896159999999998</v>
      </c>
      <c r="Z77" s="15">
        <f>+ROUND(G$3*EXP(P77),6)</f>
        <v>4.33</v>
      </c>
      <c r="AA77" s="15">
        <f>+ROUND(H$3*EXP(Q77),6)</f>
        <v>3.42</v>
      </c>
      <c r="AB77" s="1">
        <v>75</v>
      </c>
      <c r="AC77" s="5" t="s">
        <v>76</v>
      </c>
      <c r="AD77" s="16">
        <f>+ROUND(Pozisyon!$U$4*('Data - Simülasyon- P&amp;L'!U77-'Data - Simülasyon- P&amp;L'!B$3),6)</f>
        <v>0</v>
      </c>
      <c r="AE77" s="16">
        <f>+ROUND(Pozisyon!$U$5*('Data - Simülasyon- P&amp;L'!V77-'Data - Simülasyon- P&amp;L'!C$3),6)</f>
        <v>-250.45</v>
      </c>
      <c r="AF77" s="16">
        <f>+ROUND(Pozisyon!$U$6*('Data - Simülasyon- P&amp;L'!W77-'Data - Simülasyon- P&amp;L'!D$3),6)</f>
        <v>10353.5625</v>
      </c>
      <c r="AG77" s="16">
        <f>+ROUND(Pozisyon!$U$7*('Data - Simülasyon- P&amp;L'!X77-'Data - Simülasyon- P&amp;L'!E$3),6)</f>
        <v>-3029.4459999999999</v>
      </c>
      <c r="AH77" s="16">
        <f>+ROUND(Pozisyon!$U$8*('Data - Simülasyon- P&amp;L'!Y77-'Data - Simülasyon- P&amp;L'!F$3),6)</f>
        <v>2057.8240000000001</v>
      </c>
      <c r="AI77" s="16">
        <f>+ROUND(Pozisyon!$U$9*('Data - Simülasyon- P&amp;L'!Z77-'Data - Simülasyon- P&amp;L'!G$3),6)</f>
        <v>0</v>
      </c>
      <c r="AJ77" s="16">
        <f>+ROUND(Pozisyon!$U$10*('Data - Simülasyon- P&amp;L'!AA77-'Data - Simülasyon- P&amp;L'!H$3),6)</f>
        <v>0</v>
      </c>
      <c r="AK77" s="16">
        <f>+SUM(AD77:AJ77)</f>
        <v>9131.4904999999999</v>
      </c>
      <c r="AL77" s="16">
        <f>+SMALL($AK$3:$AK$254,AB77)</f>
        <v>-36475.870000000003</v>
      </c>
    </row>
    <row r="78" spans="1:38" ht="15" thickBot="1" x14ac:dyDescent="0.35">
      <c r="A78" s="5" t="s">
        <v>359</v>
      </c>
      <c r="B78" s="6">
        <v>8.25</v>
      </c>
      <c r="C78" s="5">
        <v>9.33</v>
      </c>
      <c r="D78" s="6">
        <v>6.12</v>
      </c>
      <c r="E78" s="5">
        <v>1.34</v>
      </c>
      <c r="F78" s="5">
        <v>5.18</v>
      </c>
      <c r="G78" s="5">
        <v>4.3899999999999997</v>
      </c>
      <c r="H78" s="5">
        <v>3.68</v>
      </c>
      <c r="J78" s="5" t="s">
        <v>359</v>
      </c>
      <c r="K78" s="11">
        <f>+ROUND(LN(B78/B79),6)</f>
        <v>2.0820999999999999E-2</v>
      </c>
      <c r="L78" s="11">
        <f>+ROUND(LN(C78/C79),6)</f>
        <v>1.4031999999999999E-2</v>
      </c>
      <c r="M78" s="11">
        <f>+ROUND(LN(D78/D79),6)</f>
        <v>0.18232200000000001</v>
      </c>
      <c r="N78" s="11">
        <f>+ROUND(LN(E78/E79),6)</f>
        <v>1.5037999999999999E-2</v>
      </c>
      <c r="O78" s="11">
        <f>+ROUND(LN(F78/F79),6)</f>
        <v>9.6989999999999993E-3</v>
      </c>
      <c r="P78" s="11">
        <f>+ROUND(LN(G78/G79),6)</f>
        <v>1.1455E-2</v>
      </c>
      <c r="Q78" s="11">
        <f>+ROUND(LN(H78/H79),6)</f>
        <v>1.6438999999999999E-2</v>
      </c>
      <c r="R78" s="3"/>
      <c r="T78" s="5" t="s">
        <v>77</v>
      </c>
      <c r="U78" s="15">
        <f>+ROUND(B$3*EXP(K78),6)</f>
        <v>7.7598979999999997</v>
      </c>
      <c r="V78" s="15">
        <f>+ROUND(C$3*EXP(L78),6)</f>
        <v>9.4821240000000007</v>
      </c>
      <c r="W78" s="15">
        <f>+ROUND(D$3*EXP(M78),6)</f>
        <v>3.324001</v>
      </c>
      <c r="X78" s="15">
        <f>+ROUND(E$3*EXP(N78),6)</f>
        <v>1.167424</v>
      </c>
      <c r="Y78" s="15">
        <f>+ROUND(F$3*EXP(O78),6)</f>
        <v>5.0285359999999999</v>
      </c>
      <c r="Z78" s="15">
        <f>+ROUND(G$3*EXP(P78),6)</f>
        <v>4.3798849999999998</v>
      </c>
      <c r="AA78" s="15">
        <f>+ROUND(H$3*EXP(Q78),6)</f>
        <v>3.4766859999999999</v>
      </c>
      <c r="AB78" s="1">
        <v>76</v>
      </c>
      <c r="AC78" s="5" t="s">
        <v>77</v>
      </c>
      <c r="AD78" s="16">
        <f>+ROUND(Pozisyon!$U$4*('Data - Simülasyon- P&amp;L'!U78-'Data - Simülasyon- P&amp;L'!B$3),6)</f>
        <v>23025.312000000002</v>
      </c>
      <c r="AE78" s="16">
        <f>+ROUND(Pozisyon!$U$5*('Data - Simülasyon- P&amp;L'!V78-'Data - Simülasyon- P&amp;L'!C$3),6)</f>
        <v>3303.1</v>
      </c>
      <c r="AF78" s="16">
        <f>+ROUND(Pozisyon!$U$6*('Data - Simülasyon- P&amp;L'!W78-'Data - Simülasyon- P&amp;L'!D$3),6)</f>
        <v>10387.518749999999</v>
      </c>
      <c r="AG78" s="16">
        <f>+ROUND(Pozisyon!$U$7*('Data - Simülasyon- P&amp;L'!X78-'Data - Simülasyon- P&amp;L'!E$3),6)</f>
        <v>6150.6719999999996</v>
      </c>
      <c r="AH78" s="16">
        <f>+ROUND(Pozisyon!$U$8*('Data - Simülasyon- P&amp;L'!Y78-'Data - Simülasyon- P&amp;L'!F$3),6)</f>
        <v>10386.704</v>
      </c>
      <c r="AI78" s="16">
        <f>+ROUND(Pozisyon!$U$9*('Data - Simülasyon- P&amp;L'!Z78-'Data - Simülasyon- P&amp;L'!G$3),6)</f>
        <v>15015.385</v>
      </c>
      <c r="AJ78" s="16">
        <f>+ROUND(Pozisyon!$U$10*('Data - Simülasyon- P&amp;L'!AA78-'Data - Simülasyon- P&amp;L'!H$3),6)</f>
        <v>19896.786</v>
      </c>
      <c r="AK78" s="16">
        <f>+SUM(AD78:AJ78)</f>
        <v>88165.477749999991</v>
      </c>
      <c r="AL78" s="16">
        <f>+SMALL($AK$3:$AK$254,AB78)</f>
        <v>-35529.873</v>
      </c>
    </row>
    <row r="79" spans="1:38" ht="15" thickBot="1" x14ac:dyDescent="0.35">
      <c r="A79" s="5" t="s">
        <v>360</v>
      </c>
      <c r="B79" s="6">
        <v>8.08</v>
      </c>
      <c r="C79" s="5">
        <v>9.1999999999999993</v>
      </c>
      <c r="D79" s="6">
        <v>5.0999999999999996</v>
      </c>
      <c r="E79" s="5">
        <v>1.32</v>
      </c>
      <c r="F79" s="5">
        <v>5.13</v>
      </c>
      <c r="G79" s="5">
        <v>4.34</v>
      </c>
      <c r="H79" s="5">
        <v>3.62</v>
      </c>
      <c r="J79" s="5" t="s">
        <v>360</v>
      </c>
      <c r="K79" s="11">
        <f>+ROUND(LN(B79/B80),6)</f>
        <v>-4.9379999999999997E-3</v>
      </c>
      <c r="L79" s="11">
        <f>+ROUND(LN(C79/C80),6)</f>
        <v>-5.4200000000000003E-3</v>
      </c>
      <c r="M79" s="11">
        <f>+ROUND(LN(D79/D80),6)</f>
        <v>0.194156</v>
      </c>
      <c r="N79" s="11">
        <f>+ROUND(LN(E79/E80),6)</f>
        <v>-2.9853000000000001E-2</v>
      </c>
      <c r="O79" s="11">
        <f>+ROUND(LN(F79/F80),6)</f>
        <v>-2.8819999999999998E-2</v>
      </c>
      <c r="P79" s="11">
        <f>+ROUND(LN(G79/G80),6)</f>
        <v>-1.3729999999999999E-2</v>
      </c>
      <c r="Q79" s="11">
        <f>+ROUND(LN(H79/H80),6)</f>
        <v>-1.6438999999999999E-2</v>
      </c>
      <c r="R79" s="3"/>
      <c r="T79" s="5" t="s">
        <v>78</v>
      </c>
      <c r="U79" s="15">
        <f>+ROUND(B$3*EXP(K79),6)</f>
        <v>7.5625640000000001</v>
      </c>
      <c r="V79" s="15">
        <f>+ROUND(C$3*EXP(L79),6)</f>
        <v>9.2994599999999998</v>
      </c>
      <c r="W79" s="15">
        <f>+ROUND(D$3*EXP(M79),6)</f>
        <v>3.3635709999999999</v>
      </c>
      <c r="X79" s="15">
        <f>+ROUND(E$3*EXP(N79),6)</f>
        <v>1.1161760000000001</v>
      </c>
      <c r="Y79" s="15">
        <f>+ROUND(F$3*EXP(O79),6)</f>
        <v>4.8385249999999997</v>
      </c>
      <c r="Z79" s="15">
        <f>+ROUND(G$3*EXP(P79),6)</f>
        <v>4.2709549999999998</v>
      </c>
      <c r="AA79" s="15">
        <f>+ROUND(H$3*EXP(Q79),6)</f>
        <v>3.3642379999999998</v>
      </c>
      <c r="AB79" s="1">
        <v>77</v>
      </c>
      <c r="AC79" s="5" t="s">
        <v>78</v>
      </c>
      <c r="AD79" s="16">
        <f>+ROUND(Pozisyon!$U$4*('Data - Simülasyon- P&amp;L'!U79-'Data - Simülasyon- P&amp;L'!B$3),6)</f>
        <v>-5390.7839999999997</v>
      </c>
      <c r="AE79" s="16">
        <f>+ROUND(Pozisyon!$U$5*('Data - Simülasyon- P&amp;L'!V79-'Data - Simülasyon- P&amp;L'!C$3),6)</f>
        <v>-1263.5</v>
      </c>
      <c r="AF79" s="16">
        <f>+ROUND(Pozisyon!$U$6*('Data - Simülasyon- P&amp;L'!W79-'Data - Simülasyon- P&amp;L'!D$3),6)</f>
        <v>11129.456249999999</v>
      </c>
      <c r="AG79" s="16">
        <f>+ROUND(Pozisyon!$U$7*('Data - Simülasyon- P&amp;L'!X79-'Data - Simülasyon- P&amp;L'!E$3),6)</f>
        <v>-11939.871999999999</v>
      </c>
      <c r="AH79" s="16">
        <f>+ROUND(Pozisyon!$U$8*('Data - Simülasyon- P&amp;L'!Y79-'Data - Simülasyon- P&amp;L'!F$3),6)</f>
        <v>-30275.65</v>
      </c>
      <c r="AI79" s="16">
        <f>+ROUND(Pozisyon!$U$9*('Data - Simülasyon- P&amp;L'!Z79-'Data - Simülasyon- P&amp;L'!G$3),6)</f>
        <v>-17772.544999999998</v>
      </c>
      <c r="AJ79" s="16">
        <f>+ROUND(Pozisyon!$U$10*('Data - Simülasyon- P&amp;L'!AA79-'Data - Simülasyon- P&amp;L'!H$3),6)</f>
        <v>-19572.462</v>
      </c>
      <c r="AK79" s="16">
        <f>+SUM(AD79:AJ79)</f>
        <v>-75085.356750000006</v>
      </c>
      <c r="AL79" s="16">
        <f>+SMALL($AK$3:$AK$254,AB79)</f>
        <v>-33698.399250000002</v>
      </c>
    </row>
    <row r="80" spans="1:38" ht="15" thickBot="1" x14ac:dyDescent="0.35">
      <c r="A80" s="5" t="s">
        <v>361</v>
      </c>
      <c r="B80" s="6">
        <v>8.1199999999999992</v>
      </c>
      <c r="C80" s="5">
        <v>9.25</v>
      </c>
      <c r="D80" s="6">
        <v>4.2</v>
      </c>
      <c r="E80" s="5">
        <v>1.36</v>
      </c>
      <c r="F80" s="5">
        <v>5.28</v>
      </c>
      <c r="G80" s="5">
        <v>4.4000000000000004</v>
      </c>
      <c r="H80" s="5">
        <v>3.68</v>
      </c>
      <c r="J80" s="5" t="s">
        <v>361</v>
      </c>
      <c r="K80" s="11">
        <f>+ROUND(LN(B80/B81),6)</f>
        <v>-7.3619999999999996E-3</v>
      </c>
      <c r="L80" s="11">
        <f>+ROUND(LN(C80/C81),6)</f>
        <v>4.3340000000000002E-3</v>
      </c>
      <c r="M80" s="11">
        <f>+ROUND(LN(D80/D81),6)</f>
        <v>9.5689999999999994E-3</v>
      </c>
      <c r="N80" s="11">
        <f>+ROUND(LN(E80/E81),6)</f>
        <v>-7.326E-3</v>
      </c>
      <c r="O80" s="11">
        <f>+ROUND(LN(F80/F81),6)</f>
        <v>1.7191999999999999E-2</v>
      </c>
      <c r="P80" s="11">
        <f>+ROUND(LN(G80/G81),6)</f>
        <v>-6.7949999999999998E-3</v>
      </c>
      <c r="Q80" s="11">
        <f>+ROUND(LN(H80/H81),6)</f>
        <v>-5.4200000000000003E-3</v>
      </c>
      <c r="R80" s="3"/>
      <c r="T80" s="5" t="s">
        <v>79</v>
      </c>
      <c r="U80" s="15">
        <f>+ROUND(B$3*EXP(K80),6)</f>
        <v>7.5442539999999996</v>
      </c>
      <c r="V80" s="15">
        <f>+ROUND(C$3*EXP(L80),6)</f>
        <v>9.3906109999999998</v>
      </c>
      <c r="W80" s="15">
        <f>+ROUND(D$3*EXP(M80),6)</f>
        <v>2.7966329999999999</v>
      </c>
      <c r="X80" s="15">
        <f>+ROUND(E$3*EXP(N80),6)</f>
        <v>1.1416059999999999</v>
      </c>
      <c r="Y80" s="15">
        <f>+ROUND(F$3*EXP(O80),6)</f>
        <v>5.0663559999999999</v>
      </c>
      <c r="Z80" s="15">
        <f>+ROUND(G$3*EXP(P80),6)</f>
        <v>4.3006770000000003</v>
      </c>
      <c r="AA80" s="15">
        <f>+ROUND(H$3*EXP(Q80),6)</f>
        <v>3.4015140000000001</v>
      </c>
      <c r="AB80" s="1">
        <v>78</v>
      </c>
      <c r="AC80" s="5" t="s">
        <v>79</v>
      </c>
      <c r="AD80" s="16">
        <f>+ROUND(Pozisyon!$U$4*('Data - Simülasyon- P&amp;L'!U80-'Data - Simülasyon- P&amp;L'!B$3),6)</f>
        <v>-8027.424</v>
      </c>
      <c r="AE80" s="16">
        <f>+ROUND(Pozisyon!$U$5*('Data - Simülasyon- P&amp;L'!V80-'Data - Simülasyon- P&amp;L'!C$3),6)</f>
        <v>1015.275</v>
      </c>
      <c r="AF80" s="16">
        <f>+ROUND(Pozisyon!$U$6*('Data - Simülasyon- P&amp;L'!W80-'Data - Simülasyon- P&amp;L'!D$3),6)</f>
        <v>499.36874999999998</v>
      </c>
      <c r="AG80" s="16">
        <f>+ROUND(Pozisyon!$U$7*('Data - Simülasyon- P&amp;L'!X80-'Data - Simülasyon- P&amp;L'!E$3),6)</f>
        <v>-2963.0819999999999</v>
      </c>
      <c r="AH80" s="16">
        <f>+ROUND(Pozisyon!$U$8*('Data - Simülasyon- P&amp;L'!Y80-'Data - Simülasyon- P&amp;L'!F$3),6)</f>
        <v>18480.184000000001</v>
      </c>
      <c r="AI80" s="16">
        <f>+ROUND(Pozisyon!$U$9*('Data - Simülasyon- P&amp;L'!Z80-'Data - Simülasyon- P&amp;L'!G$3),6)</f>
        <v>-8826.223</v>
      </c>
      <c r="AJ80" s="16">
        <f>+ROUND(Pozisyon!$U$10*('Data - Simülasyon- P&amp;L'!AA80-'Data - Simülasyon- P&amp;L'!H$3),6)</f>
        <v>-6488.5860000000002</v>
      </c>
      <c r="AK80" s="16">
        <f>+SUM(AD80:AJ80)</f>
        <v>-6310.4872499999992</v>
      </c>
      <c r="AL80" s="16">
        <f>+SMALL($AK$3:$AK$254,AB80)</f>
        <v>-33559.687000000005</v>
      </c>
    </row>
    <row r="81" spans="1:38" ht="15" thickBot="1" x14ac:dyDescent="0.35">
      <c r="A81" s="5" t="s">
        <v>362</v>
      </c>
      <c r="B81" s="6">
        <v>8.18</v>
      </c>
      <c r="C81" s="5">
        <v>9.2100000000000009</v>
      </c>
      <c r="D81" s="6">
        <v>4.16</v>
      </c>
      <c r="E81" s="5">
        <v>1.37</v>
      </c>
      <c r="F81" s="5">
        <v>5.19</v>
      </c>
      <c r="G81" s="5">
        <v>4.43</v>
      </c>
      <c r="H81" s="5">
        <v>3.7</v>
      </c>
      <c r="J81" s="5" t="s">
        <v>362</v>
      </c>
      <c r="K81" s="11">
        <f>+ROUND(LN(B81/B82),6)</f>
        <v>9.8279999999999999E-3</v>
      </c>
      <c r="L81" s="11">
        <f>+ROUND(LN(C81/C82),6)</f>
        <v>1.3115E-2</v>
      </c>
      <c r="M81" s="11">
        <f>+ROUND(LN(D81/D82),6)</f>
        <v>9.6620000000000004E-3</v>
      </c>
      <c r="N81" s="11">
        <f>+ROUND(LN(E81/E82),6)</f>
        <v>7.326E-3</v>
      </c>
      <c r="O81" s="11">
        <f>+ROUND(LN(F81/F82),6)</f>
        <v>7.737E-3</v>
      </c>
      <c r="P81" s="11">
        <f>+ROUND(LN(G81/G82),6)</f>
        <v>6.7949999999999998E-3</v>
      </c>
      <c r="Q81" s="11">
        <f>+ROUND(LN(H81/H82),6)</f>
        <v>1.0869999999999999E-2</v>
      </c>
      <c r="R81" s="3"/>
      <c r="T81" s="5" t="s">
        <v>80</v>
      </c>
      <c r="U81" s="15">
        <f>+ROUND(B$3*EXP(K81),6)</f>
        <v>7.6750610000000004</v>
      </c>
      <c r="V81" s="15">
        <f>+ROUND(C$3*EXP(L81),6)</f>
        <v>9.473433</v>
      </c>
      <c r="W81" s="15">
        <f>+ROUND(D$3*EXP(M81),6)</f>
        <v>2.7968929999999999</v>
      </c>
      <c r="X81" s="15">
        <f>+ROUND(E$3*EXP(N81),6)</f>
        <v>1.1584559999999999</v>
      </c>
      <c r="Y81" s="15">
        <f>+ROUND(F$3*EXP(O81),6)</f>
        <v>5.0186799999999998</v>
      </c>
      <c r="Z81" s="15">
        <f>+ROUND(G$3*EXP(P81),6)</f>
        <v>4.3595230000000003</v>
      </c>
      <c r="AA81" s="15">
        <f>+ROUND(H$3*EXP(Q81),6)</f>
        <v>3.4573779999999998</v>
      </c>
      <c r="AB81" s="1">
        <v>79</v>
      </c>
      <c r="AC81" s="5" t="s">
        <v>80</v>
      </c>
      <c r="AD81" s="16">
        <f>+ROUND(Pozisyon!$U$4*('Data - Simülasyon- P&amp;L'!U81-'Data - Simülasyon- P&amp;L'!B$3),6)</f>
        <v>10808.784</v>
      </c>
      <c r="AE81" s="16">
        <f>+ROUND(Pozisyon!$U$5*('Data - Simülasyon- P&amp;L'!V81-'Data - Simülasyon- P&amp;L'!C$3),6)</f>
        <v>3085.8249999999998</v>
      </c>
      <c r="AF81" s="16">
        <f>+ROUND(Pozisyon!$U$6*('Data - Simülasyon- P&amp;L'!W81-'Data - Simülasyon- P&amp;L'!D$3),6)</f>
        <v>504.24374999999998</v>
      </c>
      <c r="AG81" s="16">
        <f>+ROUND(Pozisyon!$U$7*('Data - Simülasyon- P&amp;L'!X81-'Data - Simülasyon- P&amp;L'!E$3),6)</f>
        <v>2984.9679999999998</v>
      </c>
      <c r="AH81" s="16">
        <f>+ROUND(Pozisyon!$U$8*('Data - Simülasyon- P&amp;L'!Y81-'Data - Simülasyon- P&amp;L'!F$3),6)</f>
        <v>8277.52</v>
      </c>
      <c r="AI81" s="16">
        <f>+ROUND(Pozisyon!$U$9*('Data - Simülasyon- P&amp;L'!Z81-'Data - Simülasyon- P&amp;L'!G$3),6)</f>
        <v>8886.4230000000007</v>
      </c>
      <c r="AJ81" s="16">
        <f>+ROUND(Pozisyon!$U$10*('Data - Simülasyon- P&amp;L'!AA81-'Data - Simülasyon- P&amp;L'!H$3),6)</f>
        <v>13119.678</v>
      </c>
      <c r="AK81" s="16">
        <f>+SUM(AD81:AJ81)</f>
        <v>47667.441749999998</v>
      </c>
      <c r="AL81" s="16">
        <f>+SMALL($AK$3:$AK$254,AB81)</f>
        <v>-33287.577000000005</v>
      </c>
    </row>
    <row r="82" spans="1:38" ht="15" thickBot="1" x14ac:dyDescent="0.35">
      <c r="A82" s="5" t="s">
        <v>363</v>
      </c>
      <c r="B82" s="6">
        <v>8.1</v>
      </c>
      <c r="C82" s="5">
        <v>9.09</v>
      </c>
      <c r="D82" s="6">
        <v>4.12</v>
      </c>
      <c r="E82" s="5">
        <v>1.36</v>
      </c>
      <c r="F82" s="5">
        <v>5.15</v>
      </c>
      <c r="G82" s="5">
        <v>4.4000000000000004</v>
      </c>
      <c r="H82" s="5">
        <v>3.66</v>
      </c>
      <c r="J82" s="5" t="s">
        <v>363</v>
      </c>
      <c r="K82" s="11">
        <f>+ROUND(LN(B82/B83),6)</f>
        <v>-1.2340000000000001E-3</v>
      </c>
      <c r="L82" s="11">
        <f>+ROUND(LN(C82/C83),6)</f>
        <v>-1.3115E-2</v>
      </c>
      <c r="M82" s="11">
        <f>+ROUND(LN(D82/D83),6)</f>
        <v>-4.8430000000000001E-3</v>
      </c>
      <c r="N82" s="11">
        <f>+ROUND(LN(E82/E83),6)</f>
        <v>-7.326E-3</v>
      </c>
      <c r="O82" s="11">
        <f>+ROUND(LN(F82/F83),6)</f>
        <v>-9.6620000000000004E-3</v>
      </c>
      <c r="P82" s="11">
        <f>+ROUND(LN(G82/G83),6)</f>
        <v>-1.3544E-2</v>
      </c>
      <c r="Q82" s="11">
        <f>+ROUND(LN(H82/H83),6)</f>
        <v>-8.1630000000000001E-3</v>
      </c>
      <c r="R82" s="3"/>
      <c r="T82" s="5" t="s">
        <v>81</v>
      </c>
      <c r="U82" s="15">
        <f>+ROUND(B$3*EXP(K82),6)</f>
        <v>7.5906269999999996</v>
      </c>
      <c r="V82" s="15">
        <f>+ROUND(C$3*EXP(L82),6)</f>
        <v>9.2281750000000002</v>
      </c>
      <c r="W82" s="15">
        <f>+ROUND(D$3*EXP(M82),6)</f>
        <v>2.7566169999999999</v>
      </c>
      <c r="X82" s="15">
        <f>+ROUND(E$3*EXP(N82),6)</f>
        <v>1.1416059999999999</v>
      </c>
      <c r="Y82" s="15">
        <f>+ROUND(F$3*EXP(O82),6)</f>
        <v>4.9321149999999996</v>
      </c>
      <c r="Z82" s="15">
        <f>+ROUND(G$3*EXP(P82),6)</f>
        <v>4.2717499999999999</v>
      </c>
      <c r="AA82" s="15">
        <f>+ROUND(H$3*EXP(Q82),6)</f>
        <v>3.3921960000000002</v>
      </c>
      <c r="AB82" s="1">
        <v>80</v>
      </c>
      <c r="AC82" s="5" t="s">
        <v>81</v>
      </c>
      <c r="AD82" s="16">
        <f>+ROUND(Pozisyon!$U$4*('Data - Simülasyon- P&amp;L'!U82-'Data - Simülasyon- P&amp;L'!B$3),6)</f>
        <v>-1349.712</v>
      </c>
      <c r="AE82" s="16">
        <f>+ROUND(Pozisyon!$U$5*('Data - Simülasyon- P&amp;L'!V82-'Data - Simülasyon- P&amp;L'!C$3),6)</f>
        <v>-3045.625</v>
      </c>
      <c r="AF82" s="16">
        <f>+ROUND(Pozisyon!$U$6*('Data - Simülasyon- P&amp;L'!W82-'Data - Simülasyon- P&amp;L'!D$3),6)</f>
        <v>-250.93125000000001</v>
      </c>
      <c r="AG82" s="16">
        <f>+ROUND(Pozisyon!$U$7*('Data - Simülasyon- P&amp;L'!X82-'Data - Simülasyon- P&amp;L'!E$3),6)</f>
        <v>-2963.0819999999999</v>
      </c>
      <c r="AH82" s="16">
        <f>+ROUND(Pozisyon!$U$8*('Data - Simülasyon- P&amp;L'!Y82-'Data - Simülasyon- P&amp;L'!F$3),6)</f>
        <v>-10247.39</v>
      </c>
      <c r="AI82" s="16">
        <f>+ROUND(Pozisyon!$U$9*('Data - Simülasyon- P&amp;L'!Z82-'Data - Simülasyon- P&amp;L'!G$3),6)</f>
        <v>-17533.25</v>
      </c>
      <c r="AJ82" s="16">
        <f>+ROUND(Pozisyon!$U$10*('Data - Simülasyon- P&amp;L'!AA82-'Data - Simülasyon- P&amp;L'!H$3),6)</f>
        <v>-9759.2039999999997</v>
      </c>
      <c r="AK82" s="16">
        <f>+SUM(AD82:AJ82)</f>
        <v>-45149.19425</v>
      </c>
      <c r="AL82" s="16">
        <f>+SMALL($AK$3:$AK$254,AB82)</f>
        <v>-32046.227749999998</v>
      </c>
    </row>
    <row r="83" spans="1:38" ht="15" thickBot="1" x14ac:dyDescent="0.35">
      <c r="A83" s="5" t="s">
        <v>364</v>
      </c>
      <c r="B83" s="6">
        <v>8.11</v>
      </c>
      <c r="C83" s="5">
        <v>9.2100000000000009</v>
      </c>
      <c r="D83" s="6">
        <v>4.1399999999999997</v>
      </c>
      <c r="E83" s="5">
        <v>1.37</v>
      </c>
      <c r="F83" s="5">
        <v>5.2</v>
      </c>
      <c r="G83" s="5">
        <v>4.46</v>
      </c>
      <c r="H83" s="5">
        <v>3.69</v>
      </c>
      <c r="J83" s="5" t="s">
        <v>364</v>
      </c>
      <c r="K83" s="11">
        <f>+ROUND(LN(B83/B84),6)</f>
        <v>2.4689999999999998E-3</v>
      </c>
      <c r="L83" s="11">
        <f>+ROUND(LN(C83/C84),6)</f>
        <v>-6.4939999999999998E-3</v>
      </c>
      <c r="M83" s="11">
        <f>+ROUND(LN(D83/D84),6)</f>
        <v>1.9512999999999999E-2</v>
      </c>
      <c r="N83" s="11">
        <f>+ROUND(LN(E83/E84),6)</f>
        <v>-2.8778999999999999E-2</v>
      </c>
      <c r="O83" s="11">
        <f>+ROUND(LN(F83/F84),6)</f>
        <v>-7.6629999999999997E-3</v>
      </c>
      <c r="P83" s="11">
        <f>+ROUND(LN(G83/G84),6)</f>
        <v>4.4939999999999997E-3</v>
      </c>
      <c r="Q83" s="11">
        <f>+ROUND(LN(H83/H84),6)</f>
        <v>0</v>
      </c>
      <c r="R83" s="3"/>
      <c r="T83" s="5" t="s">
        <v>82</v>
      </c>
      <c r="U83" s="15">
        <f>+ROUND(B$3*EXP(K83),6)</f>
        <v>7.6187880000000003</v>
      </c>
      <c r="V83" s="15">
        <f>+ROUND(C$3*EXP(L83),6)</f>
        <v>9.2894780000000008</v>
      </c>
      <c r="W83" s="15">
        <f>+ROUND(D$3*EXP(M83),6)</f>
        <v>2.8245819999999999</v>
      </c>
      <c r="X83" s="15">
        <f>+ROUND(E$3*EXP(N83),6)</f>
        <v>1.1173759999999999</v>
      </c>
      <c r="Y83" s="15">
        <f>+ROUND(F$3*EXP(O83),6)</f>
        <v>4.9419839999999997</v>
      </c>
      <c r="Z83" s="15">
        <f>+ROUND(G$3*EXP(P83),6)</f>
        <v>4.3495030000000003</v>
      </c>
      <c r="AA83" s="15">
        <f>+ROUND(H$3*EXP(Q83),6)</f>
        <v>3.42</v>
      </c>
      <c r="AB83" s="1">
        <v>81</v>
      </c>
      <c r="AC83" s="5" t="s">
        <v>82</v>
      </c>
      <c r="AD83" s="16">
        <f>+ROUND(Pozisyon!$U$4*('Data - Simülasyon- P&amp;L'!U83-'Data - Simülasyon- P&amp;L'!B$3),6)</f>
        <v>2705.4720000000002</v>
      </c>
      <c r="AE83" s="16">
        <f>+ROUND(Pozisyon!$U$5*('Data - Simülasyon- P&amp;L'!V83-'Data - Simülasyon- P&amp;L'!C$3),6)</f>
        <v>-1513.05</v>
      </c>
      <c r="AF83" s="16">
        <f>+ROUND(Pozisyon!$U$6*('Data - Simülasyon- P&amp;L'!W83-'Data - Simülasyon- P&amp;L'!D$3),6)</f>
        <v>1023.4125</v>
      </c>
      <c r="AG83" s="16">
        <f>+ROUND(Pozisyon!$U$7*('Data - Simülasyon- P&amp;L'!X83-'Data - Simülasyon- P&amp;L'!E$3),6)</f>
        <v>-11516.272000000001</v>
      </c>
      <c r="AH83" s="16">
        <f>+ROUND(Pozisyon!$U$8*('Data - Simülasyon- P&amp;L'!Y83-'Data - Simülasyon- P&amp;L'!F$3),6)</f>
        <v>-8135.424</v>
      </c>
      <c r="AI83" s="16">
        <f>+ROUND(Pozisyon!$U$9*('Data - Simülasyon- P&amp;L'!Z83-'Data - Simülasyon- P&amp;L'!G$3),6)</f>
        <v>5870.4030000000002</v>
      </c>
      <c r="AJ83" s="16">
        <f>+ROUND(Pozisyon!$U$10*('Data - Simülasyon- P&amp;L'!AA83-'Data - Simülasyon- P&amp;L'!H$3),6)</f>
        <v>0</v>
      </c>
      <c r="AK83" s="16">
        <f>+SUM(AD83:AJ83)</f>
        <v>-11565.458499999999</v>
      </c>
      <c r="AL83" s="16">
        <f>+SMALL($AK$3:$AK$254,AB83)</f>
        <v>-31848.77175</v>
      </c>
    </row>
    <row r="84" spans="1:38" ht="15" thickBot="1" x14ac:dyDescent="0.35">
      <c r="A84" s="5" t="s">
        <v>365</v>
      </c>
      <c r="B84" s="6">
        <v>8.09</v>
      </c>
      <c r="C84" s="5">
        <v>9.27</v>
      </c>
      <c r="D84" s="6">
        <v>4.0599999999999996</v>
      </c>
      <c r="E84" s="5">
        <v>1.41</v>
      </c>
      <c r="F84" s="5">
        <v>5.24</v>
      </c>
      <c r="G84" s="5">
        <v>4.4400000000000004</v>
      </c>
      <c r="H84" s="5">
        <v>3.69</v>
      </c>
      <c r="J84" s="5" t="s">
        <v>365</v>
      </c>
      <c r="K84" s="11">
        <f>+ROUND(LN(B84/B85),6)</f>
        <v>2.7570999999999998E-2</v>
      </c>
      <c r="L84" s="11">
        <f>+ROUND(LN(C84/C85),6)</f>
        <v>2.2914E-2</v>
      </c>
      <c r="M84" s="11">
        <f>+ROUND(LN(D84/D85),6)</f>
        <v>1.4888999999999999E-2</v>
      </c>
      <c r="N84" s="11">
        <f>+ROUND(LN(E84/E85),6)</f>
        <v>7.1170000000000001E-3</v>
      </c>
      <c r="O84" s="11">
        <f>+ROUND(LN(F84/F85),6)</f>
        <v>1.1516E-2</v>
      </c>
      <c r="P84" s="11">
        <f>+ROUND(LN(G84/G85),6)</f>
        <v>1.5890999999999999E-2</v>
      </c>
      <c r="Q84" s="11">
        <f>+ROUND(LN(H84/H85),6)</f>
        <v>1.3643000000000001E-2</v>
      </c>
      <c r="R84" s="3"/>
      <c r="T84" s="5" t="s">
        <v>83</v>
      </c>
      <c r="U84" s="15">
        <f>+ROUND(B$3*EXP(K84),6)</f>
        <v>7.8124549999999999</v>
      </c>
      <c r="V84" s="15">
        <f>+ROUND(C$3*EXP(L84),6)</f>
        <v>9.5667190000000009</v>
      </c>
      <c r="W84" s="15">
        <f>+ROUND(D$3*EXP(M84),6)</f>
        <v>2.8115510000000001</v>
      </c>
      <c r="X84" s="15">
        <f>+ROUND(E$3*EXP(N84),6)</f>
        <v>1.1582140000000001</v>
      </c>
      <c r="Y84" s="15">
        <f>+ROUND(F$3*EXP(O84),6)</f>
        <v>5.0376810000000001</v>
      </c>
      <c r="Z84" s="15">
        <f>+ROUND(G$3*EXP(P84),6)</f>
        <v>4.3993580000000003</v>
      </c>
      <c r="AA84" s="15">
        <f>+ROUND(H$3*EXP(Q84),6)</f>
        <v>3.4669789999999998</v>
      </c>
      <c r="AB84" s="1">
        <v>82</v>
      </c>
      <c r="AC84" s="5" t="s">
        <v>83</v>
      </c>
      <c r="AD84" s="16">
        <f>+ROUND(Pozisyon!$U$4*('Data - Simülasyon- P&amp;L'!U84-'Data - Simülasyon- P&amp;L'!B$3),6)</f>
        <v>30593.52</v>
      </c>
      <c r="AE84" s="16">
        <f>+ROUND(Pozisyon!$U$5*('Data - Simülasyon- P&amp;L'!V84-'Data - Simülasyon- P&amp;L'!C$3),6)</f>
        <v>5417.9750000000004</v>
      </c>
      <c r="AF84" s="16">
        <f>+ROUND(Pozisyon!$U$6*('Data - Simülasyon- P&amp;L'!W84-'Data - Simülasyon- P&amp;L'!D$3),6)</f>
        <v>779.08124999999995</v>
      </c>
      <c r="AG84" s="16">
        <f>+ROUND(Pozisyon!$U$7*('Data - Simülasyon- P&amp;L'!X84-'Data - Simülasyon- P&amp;L'!E$3),6)</f>
        <v>2899.5419999999999</v>
      </c>
      <c r="AH84" s="16">
        <f>+ROUND(Pozisyon!$U$8*('Data - Simülasyon- P&amp;L'!Y84-'Data - Simülasyon- P&amp;L'!F$3),6)</f>
        <v>12343.734</v>
      </c>
      <c r="AI84" s="16">
        <f>+ROUND(Pozisyon!$U$9*('Data - Simülasyon- P&amp;L'!Z84-'Data - Simülasyon- P&amp;L'!G$3),6)</f>
        <v>20876.758000000002</v>
      </c>
      <c r="AJ84" s="16">
        <f>+ROUND(Pozisyon!$U$10*('Data - Simülasyon- P&amp;L'!AA84-'Data - Simülasyon- P&amp;L'!H$3),6)</f>
        <v>16489.629000000001</v>
      </c>
      <c r="AK84" s="16">
        <f>+SUM(AD84:AJ84)</f>
        <v>89400.239250000013</v>
      </c>
      <c r="AL84" s="16">
        <f>+SMALL($AK$3:$AK$254,AB84)</f>
        <v>-31462.704750000004</v>
      </c>
    </row>
    <row r="85" spans="1:38" ht="15" thickBot="1" x14ac:dyDescent="0.35">
      <c r="A85" s="5" t="s">
        <v>366</v>
      </c>
      <c r="B85" s="6">
        <v>7.87</v>
      </c>
      <c r="C85" s="5">
        <v>9.06</v>
      </c>
      <c r="D85" s="6">
        <v>4</v>
      </c>
      <c r="E85" s="5">
        <v>1.4</v>
      </c>
      <c r="F85" s="5">
        <v>5.18</v>
      </c>
      <c r="G85" s="5">
        <v>4.37</v>
      </c>
      <c r="H85" s="5">
        <v>3.64</v>
      </c>
      <c r="J85" s="5" t="s">
        <v>366</v>
      </c>
      <c r="K85" s="11">
        <f>+ROUND(LN(B85/B86),6)</f>
        <v>2.3137000000000001E-2</v>
      </c>
      <c r="L85" s="11">
        <f>+ROUND(LN(C85/C86),6)</f>
        <v>1.4453000000000001E-2</v>
      </c>
      <c r="M85" s="11">
        <f>+ROUND(LN(D85/D86),6)</f>
        <v>0</v>
      </c>
      <c r="N85" s="11">
        <f>+ROUND(LN(E85/E86),6)</f>
        <v>0</v>
      </c>
      <c r="O85" s="11">
        <f>+ROUND(LN(F85/F86),6)</f>
        <v>1.9319999999999999E-3</v>
      </c>
      <c r="P85" s="11">
        <f>+ROUND(LN(G85/G86),6)</f>
        <v>6.8890000000000002E-3</v>
      </c>
      <c r="Q85" s="11">
        <f>+ROUND(LN(H85/H86),6)</f>
        <v>5.5100000000000001E-3</v>
      </c>
      <c r="R85" s="3"/>
      <c r="T85" s="5" t="s">
        <v>84</v>
      </c>
      <c r="U85" s="15">
        <f>+ROUND(B$3*EXP(K85),6)</f>
        <v>7.7778910000000003</v>
      </c>
      <c r="V85" s="15">
        <f>+ROUND(C$3*EXP(L85),6)</f>
        <v>9.4861170000000001</v>
      </c>
      <c r="W85" s="15">
        <f>+ROUND(D$3*EXP(M85),6)</f>
        <v>2.77</v>
      </c>
      <c r="X85" s="15">
        <f>+ROUND(E$3*EXP(N85),6)</f>
        <v>1.1499999999999999</v>
      </c>
      <c r="Y85" s="15">
        <f>+ROUND(F$3*EXP(O85),6)</f>
        <v>4.9896310000000001</v>
      </c>
      <c r="Z85" s="15">
        <f>+ROUND(G$3*EXP(P85),6)</f>
        <v>4.3599319999999997</v>
      </c>
      <c r="AA85" s="15">
        <f>+ROUND(H$3*EXP(Q85),6)</f>
        <v>3.4388960000000002</v>
      </c>
      <c r="AB85" s="1">
        <v>83</v>
      </c>
      <c r="AC85" s="5" t="s">
        <v>84</v>
      </c>
      <c r="AD85" s="16">
        <f>+ROUND(Pozisyon!$U$4*('Data - Simülasyon- P&amp;L'!U85-'Data - Simülasyon- P&amp;L'!B$3),6)</f>
        <v>25616.304</v>
      </c>
      <c r="AE85" s="16">
        <f>+ROUND(Pozisyon!$U$5*('Data - Simülasyon- P&amp;L'!V85-'Data - Simülasyon- P&amp;L'!C$3),6)</f>
        <v>3402.9250000000002</v>
      </c>
      <c r="AF85" s="16">
        <f>+ROUND(Pozisyon!$U$6*('Data - Simülasyon- P&amp;L'!W85-'Data - Simülasyon- P&amp;L'!D$3),6)</f>
        <v>0</v>
      </c>
      <c r="AG85" s="16">
        <f>+ROUND(Pozisyon!$U$7*('Data - Simülasyon- P&amp;L'!X85-'Data - Simülasyon- P&amp;L'!E$3),6)</f>
        <v>0</v>
      </c>
      <c r="AH85" s="16">
        <f>+ROUND(Pozisyon!$U$8*('Data - Simülasyon- P&amp;L'!Y85-'Data - Simülasyon- P&amp;L'!F$3),6)</f>
        <v>2061.0340000000001</v>
      </c>
      <c r="AI85" s="16">
        <f>+ROUND(Pozisyon!$U$9*('Data - Simülasyon- P&amp;L'!Z85-'Data - Simülasyon- P&amp;L'!G$3),6)</f>
        <v>9009.5319999999992</v>
      </c>
      <c r="AJ85" s="16">
        <f>+ROUND(Pozisyon!$U$10*('Data - Simülasyon- P&amp;L'!AA85-'Data - Simülasyon- P&amp;L'!H$3),6)</f>
        <v>6632.4960000000001</v>
      </c>
      <c r="AK85" s="16">
        <f>+SUM(AD85:AJ85)</f>
        <v>46722.290999999997</v>
      </c>
      <c r="AL85" s="16">
        <f>+SMALL($AK$3:$AK$254,AB85)</f>
        <v>-28092.435750000001</v>
      </c>
    </row>
    <row r="86" spans="1:38" ht="15" thickBot="1" x14ac:dyDescent="0.35">
      <c r="A86" s="5" t="s">
        <v>367</v>
      </c>
      <c r="B86" s="6">
        <v>7.69</v>
      </c>
      <c r="C86" s="5">
        <v>8.93</v>
      </c>
      <c r="D86" s="6">
        <v>4</v>
      </c>
      <c r="E86" s="5">
        <v>1.4</v>
      </c>
      <c r="F86" s="5">
        <v>5.17</v>
      </c>
      <c r="G86" s="5">
        <v>4.34</v>
      </c>
      <c r="H86" s="5">
        <v>3.62</v>
      </c>
      <c r="J86" s="5" t="s">
        <v>367</v>
      </c>
      <c r="K86" s="11">
        <f>+ROUND(LN(B86/B87),6)</f>
        <v>1.0458E-2</v>
      </c>
      <c r="L86" s="11">
        <f>+ROUND(LN(C86/C87),6)</f>
        <v>4.4889999999999999E-3</v>
      </c>
      <c r="M86" s="11">
        <f>+ROUND(LN(D86/D87),6)</f>
        <v>1.2579E-2</v>
      </c>
      <c r="N86" s="11">
        <f>+ROUND(LN(E86/E87),6)</f>
        <v>0</v>
      </c>
      <c r="O86" s="11">
        <f>+ROUND(LN(F86/F87),6)</f>
        <v>5.8199999999999997E-3</v>
      </c>
      <c r="P86" s="11">
        <f>+ROUND(LN(G86/G87),6)</f>
        <v>2.307E-3</v>
      </c>
      <c r="Q86" s="11">
        <f>+ROUND(LN(H86/H87),6)</f>
        <v>-2.7590000000000002E-3</v>
      </c>
      <c r="R86" s="3"/>
      <c r="T86" s="5" t="s">
        <v>85</v>
      </c>
      <c r="U86" s="15">
        <f>+ROUND(B$3*EXP(K86),6)</f>
        <v>7.6798979999999997</v>
      </c>
      <c r="V86" s="15">
        <f>+ROUND(C$3*EXP(L86),6)</f>
        <v>9.3920659999999998</v>
      </c>
      <c r="W86" s="15">
        <f>+ROUND(D$3*EXP(M86),6)</f>
        <v>2.8050639999999998</v>
      </c>
      <c r="X86" s="15">
        <f>+ROUND(E$3*EXP(N86),6)</f>
        <v>1.1499999999999999</v>
      </c>
      <c r="Y86" s="15">
        <f>+ROUND(F$3*EXP(O86),6)</f>
        <v>5.0090680000000001</v>
      </c>
      <c r="Z86" s="15">
        <f>+ROUND(G$3*EXP(P86),6)</f>
        <v>4.340001</v>
      </c>
      <c r="AA86" s="15">
        <f>+ROUND(H$3*EXP(Q86),6)</f>
        <v>3.410577</v>
      </c>
      <c r="AB86" s="1">
        <v>84</v>
      </c>
      <c r="AC86" s="5" t="s">
        <v>85</v>
      </c>
      <c r="AD86" s="16">
        <f>+ROUND(Pozisyon!$U$4*('Data - Simülasyon- P&amp;L'!U86-'Data - Simülasyon- P&amp;L'!B$3),6)</f>
        <v>11505.312</v>
      </c>
      <c r="AE86" s="16">
        <f>+ROUND(Pozisyon!$U$5*('Data - Simülasyon- P&amp;L'!V86-'Data - Simülasyon- P&amp;L'!C$3),6)</f>
        <v>1051.6500000000001</v>
      </c>
      <c r="AF86" s="16">
        <f>+ROUND(Pozisyon!$U$6*('Data - Simülasyon- P&amp;L'!W86-'Data - Simülasyon- P&amp;L'!D$3),6)</f>
        <v>657.45</v>
      </c>
      <c r="AG86" s="16">
        <f>+ROUND(Pozisyon!$U$7*('Data - Simülasyon- P&amp;L'!X86-'Data - Simülasyon- P&amp;L'!E$3),6)</f>
        <v>0</v>
      </c>
      <c r="AH86" s="16">
        <f>+ROUND(Pozisyon!$U$8*('Data - Simülasyon- P&amp;L'!Y86-'Data - Simülasyon- P&amp;L'!F$3),6)</f>
        <v>6220.5519999999997</v>
      </c>
      <c r="AI86" s="16">
        <f>+ROUND(Pozisyon!$U$9*('Data - Simülasyon- P&amp;L'!Z86-'Data - Simülasyon- P&amp;L'!G$3),6)</f>
        <v>3010.3009999999999</v>
      </c>
      <c r="AJ86" s="16">
        <f>+ROUND(Pozisyon!$U$10*('Data - Simülasyon- P&amp;L'!AA86-'Data - Simülasyon- P&amp;L'!H$3),6)</f>
        <v>-3307.473</v>
      </c>
      <c r="AK86" s="16">
        <f>+SUM(AD86:AJ86)</f>
        <v>19137.792000000001</v>
      </c>
      <c r="AL86" s="16">
        <f>+SMALL($AK$3:$AK$254,AB86)</f>
        <v>-27491.502249999998</v>
      </c>
    </row>
    <row r="87" spans="1:38" ht="15" thickBot="1" x14ac:dyDescent="0.35">
      <c r="A87" s="5" t="s">
        <v>368</v>
      </c>
      <c r="B87" s="6">
        <v>7.61</v>
      </c>
      <c r="C87" s="5">
        <v>8.89</v>
      </c>
      <c r="D87" s="6">
        <v>3.95</v>
      </c>
      <c r="E87" s="5">
        <v>1.4</v>
      </c>
      <c r="F87" s="5">
        <v>5.14</v>
      </c>
      <c r="G87" s="5">
        <v>4.33</v>
      </c>
      <c r="H87" s="5">
        <v>3.63</v>
      </c>
      <c r="J87" s="5" t="s">
        <v>368</v>
      </c>
      <c r="K87" s="11">
        <f>+ROUND(LN(B87/B88),6)</f>
        <v>-1.3129999999999999E-3</v>
      </c>
      <c r="L87" s="11">
        <f>+ROUND(LN(C87/C88),6)</f>
        <v>4.5100000000000001E-3</v>
      </c>
      <c r="M87" s="11">
        <f>+ROUND(LN(D87/D88),6)</f>
        <v>-1.2579E-2</v>
      </c>
      <c r="N87" s="11">
        <f>+ROUND(LN(E87/E88),6)</f>
        <v>-7.1170000000000001E-3</v>
      </c>
      <c r="O87" s="11">
        <f>+ROUND(LN(F87/F88),6)</f>
        <v>-9.6810000000000004E-3</v>
      </c>
      <c r="P87" s="11">
        <f>+ROUND(LN(G87/G88),6)</f>
        <v>4.6299999999999996E-3</v>
      </c>
      <c r="Q87" s="11">
        <f>+ROUND(LN(H87/H88),6)</f>
        <v>1.6667000000000001E-2</v>
      </c>
      <c r="R87" s="3"/>
      <c r="T87" s="5" t="s">
        <v>86</v>
      </c>
      <c r="U87" s="15">
        <f>+ROUND(B$3*EXP(K87),6)</f>
        <v>7.5900280000000002</v>
      </c>
      <c r="V87" s="15">
        <f>+ROUND(C$3*EXP(L87),6)</f>
        <v>9.3922640000000008</v>
      </c>
      <c r="W87" s="15">
        <f>+ROUND(D$3*EXP(M87),6)</f>
        <v>2.7353740000000002</v>
      </c>
      <c r="X87" s="15">
        <f>+ROUND(E$3*EXP(N87),6)</f>
        <v>1.141845</v>
      </c>
      <c r="Y87" s="15">
        <f>+ROUND(F$3*EXP(O87),6)</f>
        <v>4.9320209999999998</v>
      </c>
      <c r="Z87" s="15">
        <f>+ROUND(G$3*EXP(P87),6)</f>
        <v>4.3500940000000003</v>
      </c>
      <c r="AA87" s="15">
        <f>+ROUND(H$3*EXP(Q87),6)</f>
        <v>3.4774790000000002</v>
      </c>
      <c r="AB87" s="1">
        <v>85</v>
      </c>
      <c r="AC87" s="5" t="s">
        <v>86</v>
      </c>
      <c r="AD87" s="16">
        <f>+ROUND(Pozisyon!$U$4*('Data - Simülasyon- P&amp;L'!U87-'Data - Simülasyon- P&amp;L'!B$3),6)</f>
        <v>-1435.9680000000001</v>
      </c>
      <c r="AE87" s="16">
        <f>+ROUND(Pozisyon!$U$5*('Data - Simülasyon- P&amp;L'!V87-'Data - Simülasyon- P&amp;L'!C$3),6)</f>
        <v>1056.5999999999999</v>
      </c>
      <c r="AF87" s="16">
        <f>+ROUND(Pozisyon!$U$6*('Data - Simülasyon- P&amp;L'!W87-'Data - Simülasyon- P&amp;L'!D$3),6)</f>
        <v>-649.23749999999995</v>
      </c>
      <c r="AG87" s="16">
        <f>+ROUND(Pozisyon!$U$7*('Data - Simülasyon- P&amp;L'!X87-'Data - Simülasyon- P&amp;L'!E$3),6)</f>
        <v>-2878.7150000000001</v>
      </c>
      <c r="AH87" s="16">
        <f>+ROUND(Pozisyon!$U$8*('Data - Simülasyon- P&amp;L'!Y87-'Data - Simülasyon- P&amp;L'!F$3),6)</f>
        <v>-10267.505999999999</v>
      </c>
      <c r="AI87" s="16">
        <f>+ROUND(Pozisyon!$U$9*('Data - Simülasyon- P&amp;L'!Z87-'Data - Simülasyon- P&amp;L'!G$3),6)</f>
        <v>6048.2939999999999</v>
      </c>
      <c r="AJ87" s="16">
        <f>+ROUND(Pozisyon!$U$10*('Data - Simülasyon- P&amp;L'!AA87-'Data - Simülasyon- P&amp;L'!H$3),6)</f>
        <v>20175.129000000001</v>
      </c>
      <c r="AK87" s="16">
        <f>+SUM(AD87:AJ87)</f>
        <v>12048.596500000001</v>
      </c>
      <c r="AL87" s="16">
        <f>+SMALL($AK$3:$AK$254,AB87)</f>
        <v>-27353.561750000001</v>
      </c>
    </row>
    <row r="88" spans="1:38" ht="15" thickBot="1" x14ac:dyDescent="0.35">
      <c r="A88" s="5" t="s">
        <v>369</v>
      </c>
      <c r="B88" s="6">
        <v>7.62</v>
      </c>
      <c r="C88" s="5">
        <v>8.85</v>
      </c>
      <c r="D88" s="6">
        <v>4</v>
      </c>
      <c r="E88" s="5">
        <v>1.41</v>
      </c>
      <c r="F88" s="5">
        <v>5.19</v>
      </c>
      <c r="G88" s="5">
        <v>4.3099999999999996</v>
      </c>
      <c r="H88" s="5">
        <v>3.57</v>
      </c>
      <c r="J88" s="5" t="s">
        <v>369</v>
      </c>
      <c r="K88" s="11">
        <f>+ROUND(LN(B88/B89),6)</f>
        <v>-1.6916E-2</v>
      </c>
      <c r="L88" s="11">
        <f>+ROUND(LN(C88/C89),6)</f>
        <v>-2.4555E-2</v>
      </c>
      <c r="M88" s="11">
        <f>+ROUND(LN(D88/D89),6)</f>
        <v>0</v>
      </c>
      <c r="N88" s="11">
        <f>+ROUND(LN(E88/E89),6)</f>
        <v>-7.0670000000000004E-3</v>
      </c>
      <c r="O88" s="11">
        <f>+ROUND(LN(F88/F89),6)</f>
        <v>9.6810000000000004E-3</v>
      </c>
      <c r="P88" s="11">
        <f>+ROUND(LN(G88/G89),6)</f>
        <v>-6.9360000000000003E-3</v>
      </c>
      <c r="Q88" s="11">
        <f>+ROUND(LN(H88/H89),6)</f>
        <v>-8.3680000000000004E-3</v>
      </c>
      <c r="R88" s="3"/>
      <c r="T88" s="5" t="s">
        <v>87</v>
      </c>
      <c r="U88" s="15">
        <f>+ROUND(B$3*EXP(K88),6)</f>
        <v>7.4725200000000003</v>
      </c>
      <c r="V88" s="15">
        <f>+ROUND(C$3*EXP(L88),6)</f>
        <v>9.1232070000000007</v>
      </c>
      <c r="W88" s="15">
        <f>+ROUND(D$3*EXP(M88),6)</f>
        <v>2.77</v>
      </c>
      <c r="X88" s="15">
        <f>+ROUND(E$3*EXP(N88),6)</f>
        <v>1.141902</v>
      </c>
      <c r="Y88" s="15">
        <f>+ROUND(F$3*EXP(O88),6)</f>
        <v>5.0284459999999997</v>
      </c>
      <c r="Z88" s="15">
        <f>+ROUND(G$3*EXP(P88),6)</f>
        <v>4.300071</v>
      </c>
      <c r="AA88" s="15">
        <f>+ROUND(H$3*EXP(Q88),6)</f>
        <v>3.3915009999999999</v>
      </c>
      <c r="AB88" s="1">
        <v>86</v>
      </c>
      <c r="AC88" s="5" t="s">
        <v>87</v>
      </c>
      <c r="AD88" s="16">
        <f>+ROUND(Pozisyon!$U$4*('Data - Simülasyon- P&amp;L'!U88-'Data - Simülasyon- P&amp;L'!B$3),6)</f>
        <v>-18357.12</v>
      </c>
      <c r="AE88" s="16">
        <f>+ROUND(Pozisyon!$U$5*('Data - Simülasyon- P&amp;L'!V88-'Data - Simülasyon- P&amp;L'!C$3),6)</f>
        <v>-5669.8249999999998</v>
      </c>
      <c r="AF88" s="16">
        <f>+ROUND(Pozisyon!$U$6*('Data - Simülasyon- P&amp;L'!W88-'Data - Simülasyon- P&amp;L'!D$3),6)</f>
        <v>0</v>
      </c>
      <c r="AG88" s="16">
        <f>+ROUND(Pozisyon!$U$7*('Data - Simülasyon- P&amp;L'!X88-'Data - Simülasyon- P&amp;L'!E$3),6)</f>
        <v>-2858.5940000000001</v>
      </c>
      <c r="AH88" s="16">
        <f>+ROUND(Pozisyon!$U$8*('Data - Simülasyon- P&amp;L'!Y88-'Data - Simülasyon- P&amp;L'!F$3),6)</f>
        <v>10367.444</v>
      </c>
      <c r="AI88" s="16">
        <f>+ROUND(Pozisyon!$U$9*('Data - Simülasyon- P&amp;L'!Z88-'Data - Simülasyon- P&amp;L'!G$3),6)</f>
        <v>-9008.6290000000008</v>
      </c>
      <c r="AJ88" s="16">
        <f>+ROUND(Pozisyon!$U$10*('Data - Simülasyon- P&amp;L'!AA88-'Data - Simülasyon- P&amp;L'!H$3),6)</f>
        <v>-10003.148999999999</v>
      </c>
      <c r="AK88" s="16">
        <f>+SUM(AD88:AJ88)</f>
        <v>-35529.873</v>
      </c>
      <c r="AL88" s="16">
        <f>+SMALL($AK$3:$AK$254,AB88)</f>
        <v>-27087.95175</v>
      </c>
    </row>
    <row r="89" spans="1:38" ht="15" thickBot="1" x14ac:dyDescent="0.35">
      <c r="A89" s="5" t="s">
        <v>370</v>
      </c>
      <c r="B89" s="6">
        <v>7.75</v>
      </c>
      <c r="C89" s="5">
        <v>9.07</v>
      </c>
      <c r="D89" s="6">
        <v>4</v>
      </c>
      <c r="E89" s="5">
        <v>1.42</v>
      </c>
      <c r="F89" s="5">
        <v>5.14</v>
      </c>
      <c r="G89" s="5">
        <v>4.34</v>
      </c>
      <c r="H89" s="5">
        <v>3.6</v>
      </c>
      <c r="J89" s="5" t="s">
        <v>370</v>
      </c>
      <c r="K89" s="11">
        <f>+ROUND(LN(B89/B90),6)</f>
        <v>9.0729999999999995E-3</v>
      </c>
      <c r="L89" s="11">
        <f>+ROUND(LN(C89/C90),6)</f>
        <v>5.5279999999999999E-3</v>
      </c>
      <c r="M89" s="11">
        <f>+ROUND(LN(D89/D90),6)</f>
        <v>-4.9880000000000002E-3</v>
      </c>
      <c r="N89" s="11">
        <f>+ROUND(LN(E89/E90),6)</f>
        <v>-1.3986E-2</v>
      </c>
      <c r="O89" s="11">
        <f>+ROUND(LN(F89/F90),6)</f>
        <v>0</v>
      </c>
      <c r="P89" s="11">
        <f>+ROUND(LN(G89/G90),6)</f>
        <v>0</v>
      </c>
      <c r="Q89" s="11">
        <f>+ROUND(LN(H89/H90),6)</f>
        <v>5.5710000000000004E-3</v>
      </c>
      <c r="R89" s="3"/>
      <c r="T89" s="5" t="s">
        <v>88</v>
      </c>
      <c r="U89" s="15">
        <f>+ROUND(B$3*EXP(K89),6)</f>
        <v>7.6692689999999999</v>
      </c>
      <c r="V89" s="15">
        <f>+ROUND(C$3*EXP(L89),6)</f>
        <v>9.4018300000000004</v>
      </c>
      <c r="W89" s="15">
        <f>+ROUND(D$3*EXP(M89),6)</f>
        <v>2.7562180000000001</v>
      </c>
      <c r="X89" s="15">
        <f>+ROUND(E$3*EXP(N89),6)</f>
        <v>1.134028</v>
      </c>
      <c r="Y89" s="15">
        <f>+ROUND(F$3*EXP(O89),6)</f>
        <v>4.9800000000000004</v>
      </c>
      <c r="Z89" s="15">
        <f>+ROUND(G$3*EXP(P89),6)</f>
        <v>4.33</v>
      </c>
      <c r="AA89" s="15">
        <f>+ROUND(H$3*EXP(Q89),6)</f>
        <v>3.4391060000000002</v>
      </c>
      <c r="AB89" s="1">
        <v>87</v>
      </c>
      <c r="AC89" s="5" t="s">
        <v>88</v>
      </c>
      <c r="AD89" s="16">
        <f>+ROUND(Pozisyon!$U$4*('Data - Simülasyon- P&amp;L'!U89-'Data - Simülasyon- P&amp;L'!B$3),6)</f>
        <v>9974.7360000000008</v>
      </c>
      <c r="AE89" s="16">
        <f>+ROUND(Pozisyon!$U$5*('Data - Simülasyon- P&amp;L'!V89-'Data - Simülasyon- P&amp;L'!C$3),6)</f>
        <v>1295.75</v>
      </c>
      <c r="AF89" s="16">
        <f>+ROUND(Pozisyon!$U$6*('Data - Simülasyon- P&amp;L'!W89-'Data - Simülasyon- P&amp;L'!D$3),6)</f>
        <v>-258.41250000000002</v>
      </c>
      <c r="AG89" s="16">
        <f>+ROUND(Pozisyon!$U$7*('Data - Simülasyon- P&amp;L'!X89-'Data - Simülasyon- P&amp;L'!E$3),6)</f>
        <v>-5638.116</v>
      </c>
      <c r="AH89" s="16">
        <f>+ROUND(Pozisyon!$U$8*('Data - Simülasyon- P&amp;L'!Y89-'Data - Simülasyon- P&amp;L'!F$3),6)</f>
        <v>0</v>
      </c>
      <c r="AI89" s="16">
        <f>+ROUND(Pozisyon!$U$9*('Data - Simülasyon- P&amp;L'!Z89-'Data - Simülasyon- P&amp;L'!G$3),6)</f>
        <v>0</v>
      </c>
      <c r="AJ89" s="16">
        <f>+ROUND(Pozisyon!$U$10*('Data - Simülasyon- P&amp;L'!AA89-'Data - Simülasyon- P&amp;L'!H$3),6)</f>
        <v>6706.2060000000001</v>
      </c>
      <c r="AK89" s="16">
        <f>+SUM(AD89:AJ89)</f>
        <v>12080.163500000001</v>
      </c>
      <c r="AL89" s="16">
        <f>+SMALL($AK$3:$AK$254,AB89)</f>
        <v>-27038.300499999998</v>
      </c>
    </row>
    <row r="90" spans="1:38" ht="15" thickBot="1" x14ac:dyDescent="0.35">
      <c r="A90" s="5" t="s">
        <v>371</v>
      </c>
      <c r="B90" s="6">
        <v>7.68</v>
      </c>
      <c r="C90" s="5">
        <v>9.02</v>
      </c>
      <c r="D90" s="6">
        <v>4.0199999999999996</v>
      </c>
      <c r="E90" s="5">
        <v>1.44</v>
      </c>
      <c r="F90" s="5">
        <v>5.14</v>
      </c>
      <c r="G90" s="5">
        <v>4.34</v>
      </c>
      <c r="H90" s="5">
        <v>3.58</v>
      </c>
      <c r="J90" s="5" t="s">
        <v>371</v>
      </c>
      <c r="K90" s="11">
        <f>+ROUND(LN(B90/B91),6)</f>
        <v>1.1788E-2</v>
      </c>
      <c r="L90" s="11">
        <f>+ROUND(LN(C90/C91),6)</f>
        <v>2.0157000000000001E-2</v>
      </c>
      <c r="M90" s="11">
        <f>+ROUND(LN(D90/D91),6)</f>
        <v>-7.4349999999999998E-3</v>
      </c>
      <c r="N90" s="11">
        <f>+ROUND(LN(E90/E91),6)</f>
        <v>-6.9199999999999999E-3</v>
      </c>
      <c r="O90" s="11">
        <f>+ROUND(LN(F90/F91),6)</f>
        <v>0</v>
      </c>
      <c r="P90" s="11">
        <f>+ROUND(LN(G90/G91),6)</f>
        <v>1.3920999999999999E-2</v>
      </c>
      <c r="Q90" s="11">
        <f>+ROUND(LN(H90/H91),6)</f>
        <v>1.6902E-2</v>
      </c>
      <c r="R90" s="3"/>
      <c r="T90" s="5" t="s">
        <v>89</v>
      </c>
      <c r="U90" s="15">
        <f>+ROUND(B$3*EXP(K90),6)</f>
        <v>7.6901190000000001</v>
      </c>
      <c r="V90" s="15">
        <f>+ROUND(C$3*EXP(L90),6)</f>
        <v>9.5403800000000007</v>
      </c>
      <c r="W90" s="15">
        <f>+ROUND(D$3*EXP(M90),6)</f>
        <v>2.7494809999999998</v>
      </c>
      <c r="X90" s="15">
        <f>+ROUND(E$3*EXP(N90),6)</f>
        <v>1.142069</v>
      </c>
      <c r="Y90" s="15">
        <f>+ROUND(F$3*EXP(O90),6)</f>
        <v>4.9800000000000004</v>
      </c>
      <c r="Z90" s="15">
        <f>+ROUND(G$3*EXP(P90),6)</f>
        <v>4.3906989999999997</v>
      </c>
      <c r="AA90" s="15">
        <f>+ROUND(H$3*EXP(Q90),6)</f>
        <v>3.4782959999999998</v>
      </c>
      <c r="AB90" s="1">
        <v>88</v>
      </c>
      <c r="AC90" s="5" t="s">
        <v>89</v>
      </c>
      <c r="AD90" s="16">
        <f>+ROUND(Pozisyon!$U$4*('Data - Simülasyon- P&amp;L'!U90-'Data - Simülasyon- P&amp;L'!B$3),6)</f>
        <v>12977.136</v>
      </c>
      <c r="AE90" s="16">
        <f>+ROUND(Pozisyon!$U$5*('Data - Simülasyon- P&amp;L'!V90-'Data - Simülasyon- P&amp;L'!C$3),6)</f>
        <v>4759.5</v>
      </c>
      <c r="AF90" s="16">
        <f>+ROUND(Pozisyon!$U$6*('Data - Simülasyon- P&amp;L'!W90-'Data - Simülasyon- P&amp;L'!D$3),6)</f>
        <v>-384.73124999999999</v>
      </c>
      <c r="AG90" s="16">
        <f>+ROUND(Pozisyon!$U$7*('Data - Simülasyon- P&amp;L'!X90-'Data - Simülasyon- P&amp;L'!E$3),6)</f>
        <v>-2799.643</v>
      </c>
      <c r="AH90" s="16">
        <f>+ROUND(Pozisyon!$U$8*('Data - Simülasyon- P&amp;L'!Y90-'Data - Simülasyon- P&amp;L'!F$3),6)</f>
        <v>0</v>
      </c>
      <c r="AI90" s="16">
        <f>+ROUND(Pozisyon!$U$9*('Data - Simülasyon- P&amp;L'!Z90-'Data - Simülasyon- P&amp;L'!G$3),6)</f>
        <v>18270.399000000001</v>
      </c>
      <c r="AJ90" s="16">
        <f>+ROUND(Pozisyon!$U$10*('Data - Simülasyon- P&amp;L'!AA90-'Data - Simülasyon- P&amp;L'!H$3),6)</f>
        <v>20461.896000000001</v>
      </c>
      <c r="AK90" s="16">
        <f>+SUM(AD90:AJ90)</f>
        <v>53284.556749999996</v>
      </c>
      <c r="AL90" s="16">
        <f>+SMALL($AK$3:$AK$254,AB90)</f>
        <v>-26745.077000000001</v>
      </c>
    </row>
    <row r="91" spans="1:38" ht="15" thickBot="1" x14ac:dyDescent="0.35">
      <c r="A91" s="5" t="s">
        <v>372</v>
      </c>
      <c r="B91" s="6">
        <v>7.59</v>
      </c>
      <c r="C91" s="5">
        <v>8.84</v>
      </c>
      <c r="D91" s="6">
        <v>4.05</v>
      </c>
      <c r="E91" s="5">
        <v>1.45</v>
      </c>
      <c r="F91" s="5">
        <v>5.14</v>
      </c>
      <c r="G91" s="5">
        <v>4.28</v>
      </c>
      <c r="H91" s="5">
        <v>3.52</v>
      </c>
      <c r="J91" s="5" t="s">
        <v>372</v>
      </c>
      <c r="K91" s="11">
        <f>+ROUND(LN(B91/B92),6)</f>
        <v>-2.9853000000000001E-2</v>
      </c>
      <c r="L91" s="11">
        <f>+ROUND(LN(C91/C92),6)</f>
        <v>-1.7937999999999999E-2</v>
      </c>
      <c r="M91" s="11">
        <f>+ROUND(LN(D91/D92),6)</f>
        <v>7.4349999999999998E-3</v>
      </c>
      <c r="N91" s="11">
        <f>+ROUND(LN(E91/E92),6)</f>
        <v>-6.8729999999999998E-3</v>
      </c>
      <c r="O91" s="11">
        <f>+ROUND(LN(F91/F92),6)</f>
        <v>-2.6873000000000001E-2</v>
      </c>
      <c r="P91" s="11">
        <f>+ROUND(LN(G91/G92),6)</f>
        <v>-2.0809999999999999E-2</v>
      </c>
      <c r="Q91" s="11">
        <f>+ROUND(LN(H91/H92),6)</f>
        <v>-3.0772000000000001E-2</v>
      </c>
      <c r="R91" s="3"/>
      <c r="T91" s="5" t="s">
        <v>90</v>
      </c>
      <c r="U91" s="15">
        <f>+ROUND(B$3*EXP(K91),6)</f>
        <v>7.3764700000000003</v>
      </c>
      <c r="V91" s="15">
        <f>+ROUND(C$3*EXP(L91),6)</f>
        <v>9.1837750000000007</v>
      </c>
      <c r="W91" s="15">
        <f>+ROUND(D$3*EXP(M91),6)</f>
        <v>2.7906719999999998</v>
      </c>
      <c r="X91" s="15">
        <f>+ROUND(E$3*EXP(N91),6)</f>
        <v>1.142123</v>
      </c>
      <c r="Y91" s="15">
        <f>+ROUND(F$3*EXP(O91),6)</f>
        <v>4.8479549999999998</v>
      </c>
      <c r="Z91" s="15">
        <f>+ROUND(G$3*EXP(P91),6)</f>
        <v>4.2408239999999999</v>
      </c>
      <c r="AA91" s="15">
        <f>+ROUND(H$3*EXP(Q91),6)</f>
        <v>3.3163629999999999</v>
      </c>
      <c r="AB91" s="1">
        <v>89</v>
      </c>
      <c r="AC91" s="5" t="s">
        <v>90</v>
      </c>
      <c r="AD91" s="16">
        <f>+ROUND(Pozisyon!$U$4*('Data - Simülasyon- P&amp;L'!U91-'Data - Simülasyon- P&amp;L'!B$3),6)</f>
        <v>-32188.32</v>
      </c>
      <c r="AE91" s="16">
        <f>+ROUND(Pozisyon!$U$5*('Data - Simülasyon- P&amp;L'!V91-'Data - Simülasyon- P&amp;L'!C$3),6)</f>
        <v>-4155.625</v>
      </c>
      <c r="AF91" s="16">
        <f>+ROUND(Pozisyon!$U$6*('Data - Simülasyon- P&amp;L'!W91-'Data - Simülasyon- P&amp;L'!D$3),6)</f>
        <v>387.6</v>
      </c>
      <c r="AG91" s="16">
        <f>+ROUND(Pozisyon!$U$7*('Data - Simülasyon- P&amp;L'!X91-'Data - Simülasyon- P&amp;L'!E$3),6)</f>
        <v>-2780.5810000000001</v>
      </c>
      <c r="AH91" s="16">
        <f>+ROUND(Pozisyon!$U$8*('Data - Simülasyon- P&amp;L'!Y91-'Data - Simülasyon- P&amp;L'!F$3),6)</f>
        <v>-28257.63</v>
      </c>
      <c r="AI91" s="16">
        <f>+ROUND(Pozisyon!$U$9*('Data - Simülasyon- P&amp;L'!Z91-'Data - Simülasyon- P&amp;L'!G$3),6)</f>
        <v>-26841.975999999999</v>
      </c>
      <c r="AJ91" s="16">
        <f>+ROUND(Pozisyon!$U$10*('Data - Simülasyon- P&amp;L'!AA91-'Data - Simülasyon- P&amp;L'!H$3),6)</f>
        <v>-36376.587</v>
      </c>
      <c r="AK91" s="16">
        <f>+SUM(AD91:AJ91)</f>
        <v>-130213.11899999999</v>
      </c>
      <c r="AL91" s="16">
        <f>+SMALL($AK$3:$AK$254,AB91)</f>
        <v>-26602.694750000002</v>
      </c>
    </row>
    <row r="92" spans="1:38" ht="15" thickBot="1" x14ac:dyDescent="0.35">
      <c r="A92" s="5" t="s">
        <v>373</v>
      </c>
      <c r="B92" s="6">
        <v>7.82</v>
      </c>
      <c r="C92" s="5">
        <v>9</v>
      </c>
      <c r="D92" s="6">
        <v>4.0199999999999996</v>
      </c>
      <c r="E92" s="5">
        <v>1.46</v>
      </c>
      <c r="F92" s="5">
        <v>5.28</v>
      </c>
      <c r="G92" s="5">
        <v>4.37</v>
      </c>
      <c r="H92" s="5">
        <v>3.63</v>
      </c>
      <c r="J92" s="5" t="s">
        <v>373</v>
      </c>
      <c r="K92" s="11">
        <f>+ROUND(LN(B92/B93),6)</f>
        <v>1.2800000000000001E-3</v>
      </c>
      <c r="L92" s="11">
        <f>+ROUND(LN(C92/C93),6)</f>
        <v>2.4747999999999999E-2</v>
      </c>
      <c r="M92" s="11">
        <f>+ROUND(LN(D92/D93),6)</f>
        <v>-7.4349999999999998E-3</v>
      </c>
      <c r="N92" s="11">
        <f>+ROUND(LN(E92/E93),6)</f>
        <v>6.8729999999999998E-3</v>
      </c>
      <c r="O92" s="11">
        <f>+ROUND(LN(F92/F93),6)</f>
        <v>0</v>
      </c>
      <c r="P92" s="11">
        <f>+ROUND(LN(G92/G93),6)</f>
        <v>4.5869999999999999E-3</v>
      </c>
      <c r="Q92" s="11">
        <f>+ROUND(LN(H92/H93),6)</f>
        <v>5.5250000000000004E-3</v>
      </c>
      <c r="R92" s="3"/>
      <c r="T92" s="5" t="s">
        <v>91</v>
      </c>
      <c r="U92" s="15">
        <f>+ROUND(B$3*EXP(K92),6)</f>
        <v>7.6097340000000004</v>
      </c>
      <c r="V92" s="15">
        <f>+ROUND(C$3*EXP(L92),6)</f>
        <v>9.5842810000000007</v>
      </c>
      <c r="W92" s="15">
        <f>+ROUND(D$3*EXP(M92),6)</f>
        <v>2.7494809999999998</v>
      </c>
      <c r="X92" s="15">
        <f>+ROUND(E$3*EXP(N92),6)</f>
        <v>1.157931</v>
      </c>
      <c r="Y92" s="15">
        <f>+ROUND(F$3*EXP(O92),6)</f>
        <v>4.9800000000000004</v>
      </c>
      <c r="Z92" s="15">
        <f>+ROUND(G$3*EXP(P92),6)</f>
        <v>4.349907</v>
      </c>
      <c r="AA92" s="15">
        <f>+ROUND(H$3*EXP(Q92),6)</f>
        <v>3.4389479999999999</v>
      </c>
      <c r="AB92" s="1">
        <v>90</v>
      </c>
      <c r="AC92" s="5" t="s">
        <v>91</v>
      </c>
      <c r="AD92" s="16">
        <f>+ROUND(Pozisyon!$U$4*('Data - Simülasyon- P&amp;L'!U92-'Data - Simülasyon- P&amp;L'!B$3),6)</f>
        <v>1401.6959999999999</v>
      </c>
      <c r="AE92" s="16">
        <f>+ROUND(Pozisyon!$U$5*('Data - Simülasyon- P&amp;L'!V92-'Data - Simülasyon- P&amp;L'!C$3),6)</f>
        <v>5857.0249999999996</v>
      </c>
      <c r="AF92" s="16">
        <f>+ROUND(Pozisyon!$U$6*('Data - Simülasyon- P&amp;L'!W92-'Data - Simülasyon- P&amp;L'!D$3),6)</f>
        <v>-384.73124999999999</v>
      </c>
      <c r="AG92" s="16">
        <f>+ROUND(Pozisyon!$U$7*('Data - Simülasyon- P&amp;L'!X92-'Data - Simülasyon- P&amp;L'!E$3),6)</f>
        <v>2799.643</v>
      </c>
      <c r="AH92" s="16">
        <f>+ROUND(Pozisyon!$U$8*('Data - Simülasyon- P&amp;L'!Y92-'Data - Simülasyon- P&amp;L'!F$3),6)</f>
        <v>0</v>
      </c>
      <c r="AI92" s="16">
        <f>+ROUND(Pozisyon!$U$9*('Data - Simülasyon- P&amp;L'!Z92-'Data - Simülasyon- P&amp;L'!G$3),6)</f>
        <v>5992.0069999999996</v>
      </c>
      <c r="AJ92" s="16">
        <f>+ROUND(Pozisyon!$U$10*('Data - Simülasyon- P&amp;L'!AA92-'Data - Simülasyon- P&amp;L'!H$3),6)</f>
        <v>6650.7479999999996</v>
      </c>
      <c r="AK92" s="16">
        <f>+SUM(AD92:AJ92)</f>
        <v>22316.387750000002</v>
      </c>
      <c r="AL92" s="16">
        <f>+SMALL($AK$3:$AK$254,AB92)</f>
        <v>-25296.719000000005</v>
      </c>
    </row>
    <row r="93" spans="1:38" ht="15" thickBot="1" x14ac:dyDescent="0.35">
      <c r="A93" s="5" t="s">
        <v>374</v>
      </c>
      <c r="B93" s="6">
        <v>7.81</v>
      </c>
      <c r="C93" s="5">
        <v>8.7799999999999994</v>
      </c>
      <c r="D93" s="6">
        <v>4.05</v>
      </c>
      <c r="E93" s="5">
        <v>1.45</v>
      </c>
      <c r="F93" s="5">
        <v>5.28</v>
      </c>
      <c r="G93" s="5">
        <v>4.3499999999999996</v>
      </c>
      <c r="H93" s="5">
        <v>3.61</v>
      </c>
      <c r="J93" s="5" t="s">
        <v>374</v>
      </c>
      <c r="K93" s="11">
        <f>+ROUND(LN(B93/B94),6)</f>
        <v>-8.9230000000000004E-3</v>
      </c>
      <c r="L93" s="11">
        <f>+ROUND(LN(C93/C94),6)</f>
        <v>-7.9410000000000001E-3</v>
      </c>
      <c r="M93" s="11">
        <f>+ROUND(LN(D93/D94),6)</f>
        <v>-1.227E-2</v>
      </c>
      <c r="N93" s="11">
        <f>+ROUND(LN(E93/E94),6)</f>
        <v>6.9199999999999999E-3</v>
      </c>
      <c r="O93" s="11">
        <f>+ROUND(LN(F93/F94),6)</f>
        <v>-2.2473E-2</v>
      </c>
      <c r="P93" s="11">
        <f>+ROUND(LN(G93/G94),6)</f>
        <v>-4.5869999999999999E-3</v>
      </c>
      <c r="Q93" s="11">
        <f>+ROUND(LN(H93/H94),6)</f>
        <v>-5.5250000000000004E-3</v>
      </c>
      <c r="R93" s="3"/>
      <c r="T93" s="5" t="s">
        <v>92</v>
      </c>
      <c r="U93" s="15">
        <f>+ROUND(B$3*EXP(K93),6)</f>
        <v>7.5324869999999997</v>
      </c>
      <c r="V93" s="15">
        <f>+ROUND(C$3*EXP(L93),6)</f>
        <v>9.2760459999999991</v>
      </c>
      <c r="W93" s="15">
        <f>+ROUND(D$3*EXP(M93),6)</f>
        <v>2.7362199999999999</v>
      </c>
      <c r="X93" s="15">
        <f>+ROUND(E$3*EXP(N93),6)</f>
        <v>1.157986</v>
      </c>
      <c r="Y93" s="15">
        <f>+ROUND(F$3*EXP(O93),6)</f>
        <v>4.8693330000000001</v>
      </c>
      <c r="Z93" s="15">
        <f>+ROUND(G$3*EXP(P93),6)</f>
        <v>4.3101839999999996</v>
      </c>
      <c r="AA93" s="15">
        <f>+ROUND(H$3*EXP(Q93),6)</f>
        <v>3.401157</v>
      </c>
      <c r="AB93" s="1">
        <v>91</v>
      </c>
      <c r="AC93" s="5" t="s">
        <v>92</v>
      </c>
      <c r="AD93" s="16">
        <f>+ROUND(Pozisyon!$U$4*('Data - Simülasyon- P&amp;L'!U93-'Data - Simülasyon- P&amp;L'!B$3),6)</f>
        <v>-9721.8719999999994</v>
      </c>
      <c r="AE93" s="16">
        <f>+ROUND(Pozisyon!$U$5*('Data - Simülasyon- P&amp;L'!V93-'Data - Simülasyon- P&amp;L'!C$3),6)</f>
        <v>-1848.85</v>
      </c>
      <c r="AF93" s="16">
        <f>+ROUND(Pozisyon!$U$6*('Data - Simülasyon- P&amp;L'!W93-'Data - Simülasyon- P&amp;L'!D$3),6)</f>
        <v>-633.375</v>
      </c>
      <c r="AG93" s="16">
        <f>+ROUND(Pozisyon!$U$7*('Data - Simülasyon- P&amp;L'!X93-'Data - Simülasyon- P&amp;L'!E$3),6)</f>
        <v>2819.058</v>
      </c>
      <c r="AH93" s="16">
        <f>+ROUND(Pozisyon!$U$8*('Data - Simülasyon- P&amp;L'!Y93-'Data - Simülasyon- P&amp;L'!F$3),6)</f>
        <v>-23682.738000000001</v>
      </c>
      <c r="AI93" s="16">
        <f>+ROUND(Pozisyon!$U$9*('Data - Simülasyon- P&amp;L'!Z93-'Data - Simülasyon- P&amp;L'!G$3),6)</f>
        <v>-5964.616</v>
      </c>
      <c r="AJ93" s="16">
        <f>+ROUND(Pozisyon!$U$10*('Data - Simülasyon- P&amp;L'!AA93-'Data - Simülasyon- P&amp;L'!H$3),6)</f>
        <v>-6613.893</v>
      </c>
      <c r="AK93" s="16">
        <f>+SUM(AD93:AJ93)</f>
        <v>-45646.286000000007</v>
      </c>
      <c r="AL93" s="16">
        <f>+SMALL($AK$3:$AK$254,AB93)</f>
        <v>-23307.56525</v>
      </c>
    </row>
    <row r="94" spans="1:38" ht="15" thickBot="1" x14ac:dyDescent="0.35">
      <c r="A94" s="5" t="s">
        <v>375</v>
      </c>
      <c r="B94" s="6">
        <v>7.88</v>
      </c>
      <c r="C94" s="5">
        <v>8.85</v>
      </c>
      <c r="D94" s="6">
        <v>4.0999999999999996</v>
      </c>
      <c r="E94" s="5">
        <v>1.44</v>
      </c>
      <c r="F94" s="5">
        <v>5.4</v>
      </c>
      <c r="G94" s="5">
        <v>4.37</v>
      </c>
      <c r="H94" s="5">
        <v>3.63</v>
      </c>
      <c r="J94" s="5" t="s">
        <v>375</v>
      </c>
      <c r="K94" s="11">
        <f>+ROUND(LN(B94/B95),6)</f>
        <v>2.5409999999999999E-3</v>
      </c>
      <c r="L94" s="11">
        <f>+ROUND(LN(C94/C95),6)</f>
        <v>5.666E-3</v>
      </c>
      <c r="M94" s="11">
        <f>+ROUND(LN(D94/D95),6)</f>
        <v>2.4693E-2</v>
      </c>
      <c r="N94" s="11">
        <f>+ROUND(LN(E94/E95),6)</f>
        <v>6.9690000000000004E-3</v>
      </c>
      <c r="O94" s="11">
        <f>+ROUND(LN(F94/F95),6)</f>
        <v>1.4926E-2</v>
      </c>
      <c r="P94" s="11">
        <f>+ROUND(LN(G94/G95),6)</f>
        <v>2.2910000000000001E-3</v>
      </c>
      <c r="Q94" s="11">
        <f>+ROUND(LN(H94/H95),6)</f>
        <v>5.5250000000000004E-3</v>
      </c>
      <c r="R94" s="3"/>
      <c r="T94" s="5" t="s">
        <v>93</v>
      </c>
      <c r="U94" s="15">
        <f>+ROUND(B$3*EXP(K94),6)</f>
        <v>7.6193359999999997</v>
      </c>
      <c r="V94" s="15">
        <f>+ROUND(C$3*EXP(L94),6)</f>
        <v>9.4031269999999996</v>
      </c>
      <c r="W94" s="15">
        <f>+ROUND(D$3*EXP(M94),6)</f>
        <v>2.839251</v>
      </c>
      <c r="X94" s="15">
        <f>+ROUND(E$3*EXP(N94),6)</f>
        <v>1.158042</v>
      </c>
      <c r="Y94" s="15">
        <f>+ROUND(F$3*EXP(O94),6)</f>
        <v>5.0548890000000002</v>
      </c>
      <c r="Z94" s="15">
        <f>+ROUND(G$3*EXP(P94),6)</f>
        <v>4.339931</v>
      </c>
      <c r="AA94" s="15">
        <f>+ROUND(H$3*EXP(Q94),6)</f>
        <v>3.4389479999999999</v>
      </c>
      <c r="AB94" s="1">
        <v>92</v>
      </c>
      <c r="AC94" s="5" t="s">
        <v>93</v>
      </c>
      <c r="AD94" s="16">
        <f>+ROUND(Pozisyon!$U$4*('Data - Simülasyon- P&amp;L'!U94-'Data - Simülasyon- P&amp;L'!B$3),6)</f>
        <v>2784.384</v>
      </c>
      <c r="AE94" s="16">
        <f>+ROUND(Pozisyon!$U$5*('Data - Simülasyon- P&amp;L'!V94-'Data - Simülasyon- P&amp;L'!C$3),6)</f>
        <v>1328.175</v>
      </c>
      <c r="AF94" s="16">
        <f>+ROUND(Pozisyon!$U$6*('Data - Simülasyon- P&amp;L'!W94-'Data - Simülasyon- P&amp;L'!D$3),6)</f>
        <v>1298.45625</v>
      </c>
      <c r="AG94" s="16">
        <f>+ROUND(Pozisyon!$U$7*('Data - Simülasyon- P&amp;L'!X94-'Data - Simülasyon- P&amp;L'!E$3),6)</f>
        <v>2838.826</v>
      </c>
      <c r="AH94" s="16">
        <f>+ROUND(Pozisyon!$U$8*('Data - Simülasyon- P&amp;L'!Y94-'Data - Simülasyon- P&amp;L'!F$3),6)</f>
        <v>16026.245999999999</v>
      </c>
      <c r="AI94" s="16">
        <f>+ROUND(Pozisyon!$U$9*('Data - Simülasyon- P&amp;L'!Z94-'Data - Simülasyon- P&amp;L'!G$3),6)</f>
        <v>2989.2310000000002</v>
      </c>
      <c r="AJ94" s="16">
        <f>+ROUND(Pozisyon!$U$10*('Data - Simülasyon- P&amp;L'!AA94-'Data - Simülasyon- P&amp;L'!H$3),6)</f>
        <v>6650.7479999999996</v>
      </c>
      <c r="AK94" s="16">
        <f>+SUM(AD94:AJ94)</f>
        <v>33916.066250000003</v>
      </c>
      <c r="AL94" s="16">
        <f>+SMALL($AK$3:$AK$254,AB94)</f>
        <v>-21438.784249999997</v>
      </c>
    </row>
    <row r="95" spans="1:38" ht="15" thickBot="1" x14ac:dyDescent="0.35">
      <c r="A95" s="5" t="s">
        <v>376</v>
      </c>
      <c r="B95" s="6">
        <v>7.86</v>
      </c>
      <c r="C95" s="5">
        <v>8.8000000000000007</v>
      </c>
      <c r="D95" s="6">
        <v>4</v>
      </c>
      <c r="E95" s="5">
        <v>1.43</v>
      </c>
      <c r="F95" s="5">
        <v>5.32</v>
      </c>
      <c r="G95" s="5">
        <v>4.3600000000000003</v>
      </c>
      <c r="H95" s="5">
        <v>3.61</v>
      </c>
      <c r="J95" s="5" t="s">
        <v>376</v>
      </c>
      <c r="K95" s="11">
        <f>+ROUND(LN(B95/B96),6)</f>
        <v>3.8240000000000001E-3</v>
      </c>
      <c r="L95" s="11">
        <f>+ROUND(LN(C95/C96),6)</f>
        <v>7.986E-3</v>
      </c>
      <c r="M95" s="11">
        <f>+ROUND(LN(D95/D96),6)</f>
        <v>0</v>
      </c>
      <c r="N95" s="11">
        <f>+ROUND(LN(E95/E96),6)</f>
        <v>1.4085E-2</v>
      </c>
      <c r="O95" s="11">
        <f>+ROUND(LN(F95/F96),6)</f>
        <v>-7.4910000000000003E-3</v>
      </c>
      <c r="P95" s="11">
        <f>+ROUND(LN(G95/G96),6)</f>
        <v>4.5979999999999997E-3</v>
      </c>
      <c r="Q95" s="11">
        <f>+ROUND(LN(H95/H96),6)</f>
        <v>2.774E-3</v>
      </c>
      <c r="R95" s="3"/>
      <c r="T95" s="5" t="s">
        <v>94</v>
      </c>
      <c r="U95" s="15">
        <f>+ROUND(B$3*EXP(K95),6)</f>
        <v>7.6291180000000001</v>
      </c>
      <c r="V95" s="15">
        <f>+ROUND(C$3*EXP(L95),6)</f>
        <v>9.4249679999999998</v>
      </c>
      <c r="W95" s="15">
        <f>+ROUND(D$3*EXP(M95),6)</f>
        <v>2.77</v>
      </c>
      <c r="X95" s="15">
        <f>+ROUND(E$3*EXP(N95),6)</f>
        <v>1.166312</v>
      </c>
      <c r="Y95" s="15">
        <f>+ROUND(F$3*EXP(O95),6)</f>
        <v>4.9428340000000004</v>
      </c>
      <c r="Z95" s="15">
        <f>+ROUND(G$3*EXP(P95),6)</f>
        <v>4.3499549999999996</v>
      </c>
      <c r="AA95" s="15">
        <f>+ROUND(H$3*EXP(Q95),6)</f>
        <v>3.4295</v>
      </c>
      <c r="AB95" s="1">
        <v>93</v>
      </c>
      <c r="AC95" s="5" t="s">
        <v>94</v>
      </c>
      <c r="AD95" s="16">
        <f>+ROUND(Pozisyon!$U$4*('Data - Simülasyon- P&amp;L'!U95-'Data - Simülasyon- P&amp;L'!B$3),6)</f>
        <v>4192.9920000000002</v>
      </c>
      <c r="AE95" s="16">
        <f>+ROUND(Pozisyon!$U$5*('Data - Simülasyon- P&amp;L'!V95-'Data - Simülasyon- P&amp;L'!C$3),6)</f>
        <v>1874.2</v>
      </c>
      <c r="AF95" s="16">
        <f>+ROUND(Pozisyon!$U$6*('Data - Simülasyon- P&amp;L'!W95-'Data - Simülasyon- P&amp;L'!D$3),6)</f>
        <v>0</v>
      </c>
      <c r="AG95" s="16">
        <f>+ROUND(Pozisyon!$U$7*('Data - Simülasyon- P&amp;L'!X95-'Data - Simülasyon- P&amp;L'!E$3),6)</f>
        <v>5758.1360000000004</v>
      </c>
      <c r="AH95" s="16">
        <f>+ROUND(Pozisyon!$U$8*('Data - Simülasyon- P&amp;L'!Y95-'Data - Simülasyon- P&amp;L'!F$3),6)</f>
        <v>-7953.5240000000003</v>
      </c>
      <c r="AI95" s="16">
        <f>+ROUND(Pozisyon!$U$9*('Data - Simülasyon- P&amp;L'!Z95-'Data - Simülasyon- P&amp;L'!G$3),6)</f>
        <v>6006.4549999999999</v>
      </c>
      <c r="AJ95" s="16">
        <f>+ROUND(Pozisyon!$U$10*('Data - Simülasyon- P&amp;L'!AA95-'Data - Simülasyon- P&amp;L'!H$3),6)</f>
        <v>3334.5</v>
      </c>
      <c r="AK95" s="16">
        <f>+SUM(AD95:AJ95)</f>
        <v>13212.759000000002</v>
      </c>
      <c r="AL95" s="16">
        <f>+SMALL($AK$3:$AK$254,AB95)</f>
        <v>-21304.900249999999</v>
      </c>
    </row>
    <row r="96" spans="1:38" ht="15" thickBot="1" x14ac:dyDescent="0.35">
      <c r="A96" s="5" t="s">
        <v>377</v>
      </c>
      <c r="B96" s="6">
        <v>7.83</v>
      </c>
      <c r="C96" s="5">
        <v>8.73</v>
      </c>
      <c r="D96" s="6">
        <v>4</v>
      </c>
      <c r="E96" s="5">
        <v>1.41</v>
      </c>
      <c r="F96" s="5">
        <v>5.36</v>
      </c>
      <c r="G96" s="5">
        <v>4.34</v>
      </c>
      <c r="H96" s="5">
        <v>3.6</v>
      </c>
      <c r="J96" s="5" t="s">
        <v>377</v>
      </c>
      <c r="K96" s="11">
        <f>+ROUND(LN(B96/B97),6)</f>
        <v>1.2780000000000001E-3</v>
      </c>
      <c r="L96" s="11">
        <f>+ROUND(LN(C96/C97),6)</f>
        <v>5.744E-3</v>
      </c>
      <c r="M96" s="11">
        <f>+ROUND(LN(D96/D97),6)</f>
        <v>0</v>
      </c>
      <c r="N96" s="11">
        <f>+ROUND(LN(E96/E97),6)</f>
        <v>1.4286E-2</v>
      </c>
      <c r="O96" s="11">
        <f>+ROUND(LN(F96/F97),6)</f>
        <v>3.738E-3</v>
      </c>
      <c r="P96" s="11">
        <f>+ROUND(LN(G96/G97),6)</f>
        <v>4.6189999999999998E-3</v>
      </c>
      <c r="Q96" s="11">
        <f>+ROUND(LN(H96/H97),6)</f>
        <v>5.5710000000000004E-3</v>
      </c>
      <c r="R96" s="3"/>
      <c r="T96" s="5" t="s">
        <v>95</v>
      </c>
      <c r="U96" s="15">
        <f>+ROUND(B$3*EXP(K96),6)</f>
        <v>7.6097190000000001</v>
      </c>
      <c r="V96" s="15">
        <f>+ROUND(C$3*EXP(L96),6)</f>
        <v>9.4038609999999991</v>
      </c>
      <c r="W96" s="15">
        <f>+ROUND(D$3*EXP(M96),6)</f>
        <v>2.77</v>
      </c>
      <c r="X96" s="15">
        <f>+ROUND(E$3*EXP(N96),6)</f>
        <v>1.166547</v>
      </c>
      <c r="Y96" s="15">
        <f>+ROUND(F$3*EXP(O96),6)</f>
        <v>4.9986499999999996</v>
      </c>
      <c r="Z96" s="15">
        <f>+ROUND(G$3*EXP(P96),6)</f>
        <v>4.350047</v>
      </c>
      <c r="AA96" s="15">
        <f>+ROUND(H$3*EXP(Q96),6)</f>
        <v>3.4391060000000002</v>
      </c>
      <c r="AB96" s="1">
        <v>94</v>
      </c>
      <c r="AC96" s="5" t="s">
        <v>95</v>
      </c>
      <c r="AD96" s="16">
        <f>+ROUND(Pozisyon!$U$4*('Data - Simülasyon- P&amp;L'!U96-'Data - Simülasyon- P&amp;L'!B$3),6)</f>
        <v>1399.5360000000001</v>
      </c>
      <c r="AE96" s="16">
        <f>+ROUND(Pozisyon!$U$5*('Data - Simülasyon- P&amp;L'!V96-'Data - Simülasyon- P&amp;L'!C$3),6)</f>
        <v>1346.5250000000001</v>
      </c>
      <c r="AF96" s="16">
        <f>+ROUND(Pozisyon!$U$6*('Data - Simülasyon- P&amp;L'!W96-'Data - Simülasyon- P&amp;L'!D$3),6)</f>
        <v>0</v>
      </c>
      <c r="AG96" s="16">
        <f>+ROUND(Pozisyon!$U$7*('Data - Simülasyon- P&amp;L'!X96-'Data - Simülasyon- P&amp;L'!E$3),6)</f>
        <v>5841.0910000000003</v>
      </c>
      <c r="AH96" s="16">
        <f>+ROUND(Pozisyon!$U$8*('Data - Simülasyon- P&amp;L'!Y96-'Data - Simülasyon- P&amp;L'!F$3),6)</f>
        <v>3991.1</v>
      </c>
      <c r="AI96" s="16">
        <f>+ROUND(Pozisyon!$U$9*('Data - Simülasyon- P&amp;L'!Z96-'Data - Simülasyon- P&amp;L'!G$3),6)</f>
        <v>6034.1469999999999</v>
      </c>
      <c r="AJ96" s="16">
        <f>+ROUND(Pozisyon!$U$10*('Data - Simülasyon- P&amp;L'!AA96-'Data - Simülasyon- P&amp;L'!H$3),6)</f>
        <v>6706.2060000000001</v>
      </c>
      <c r="AK96" s="16">
        <f>+SUM(AD96:AJ96)</f>
        <v>25318.605000000003</v>
      </c>
      <c r="AL96" s="16">
        <f>+SMALL($AK$3:$AK$254,AB96)</f>
        <v>-20654.384999999998</v>
      </c>
    </row>
    <row r="97" spans="1:38" ht="15" thickBot="1" x14ac:dyDescent="0.35">
      <c r="A97" s="5" t="s">
        <v>378</v>
      </c>
      <c r="B97" s="6">
        <v>7.82</v>
      </c>
      <c r="C97" s="5">
        <v>8.68</v>
      </c>
      <c r="D97" s="6">
        <v>4</v>
      </c>
      <c r="E97" s="5">
        <v>1.39</v>
      </c>
      <c r="F97" s="5">
        <v>5.34</v>
      </c>
      <c r="G97" s="5">
        <v>4.32</v>
      </c>
      <c r="H97" s="5">
        <v>3.58</v>
      </c>
      <c r="J97" s="5" t="s">
        <v>378</v>
      </c>
      <c r="K97" s="11">
        <f>+ROUND(LN(B97/B98),6)</f>
        <v>-5.1019999999999998E-3</v>
      </c>
      <c r="L97" s="11">
        <f>+ROUND(LN(C97/C98),6)</f>
        <v>-4.5979999999999997E-3</v>
      </c>
      <c r="M97" s="11">
        <f>+ROUND(LN(D97/D98),6)</f>
        <v>-2.2251E-2</v>
      </c>
      <c r="N97" s="11">
        <f>+ROUND(LN(E97/E98),6)</f>
        <v>0</v>
      </c>
      <c r="O97" s="11">
        <f>+ROUND(LN(F97/F98),6)</f>
        <v>-4.5754000000000003E-2</v>
      </c>
      <c r="P97" s="11">
        <f>+ROUND(LN(G97/G98),6)</f>
        <v>-6.9199999999999999E-3</v>
      </c>
      <c r="Q97" s="11">
        <f>+ROUND(LN(H97/H98),6)</f>
        <v>-5.5710000000000004E-3</v>
      </c>
      <c r="R97" s="3"/>
      <c r="T97" s="5" t="s">
        <v>96</v>
      </c>
      <c r="U97" s="15">
        <f>+ROUND(B$3*EXP(K97),6)</f>
        <v>7.5613239999999999</v>
      </c>
      <c r="V97" s="15">
        <f>+ROUND(C$3*EXP(L97),6)</f>
        <v>9.3071070000000002</v>
      </c>
      <c r="W97" s="15">
        <f>+ROUND(D$3*EXP(M97),6)</f>
        <v>2.7090450000000001</v>
      </c>
      <c r="X97" s="15">
        <f>+ROUND(E$3*EXP(N97),6)</f>
        <v>1.1499999999999999</v>
      </c>
      <c r="Y97" s="15">
        <f>+ROUND(F$3*EXP(O97),6)</f>
        <v>4.7572789999999996</v>
      </c>
      <c r="Z97" s="15">
        <f>+ROUND(G$3*EXP(P97),6)</f>
        <v>4.3001399999999999</v>
      </c>
      <c r="AA97" s="15">
        <f>+ROUND(H$3*EXP(Q97),6)</f>
        <v>3.4009999999999998</v>
      </c>
      <c r="AB97" s="1">
        <v>95</v>
      </c>
      <c r="AC97" s="5" t="s">
        <v>96</v>
      </c>
      <c r="AD97" s="16">
        <f>+ROUND(Pozisyon!$U$4*('Data - Simülasyon- P&amp;L'!U97-'Data - Simülasyon- P&amp;L'!B$3),6)</f>
        <v>-5569.3440000000001</v>
      </c>
      <c r="AE97" s="16">
        <f>+ROUND(Pozisyon!$U$5*('Data - Simülasyon- P&amp;L'!V97-'Data - Simülasyon- P&amp;L'!C$3),6)</f>
        <v>-1072.325</v>
      </c>
      <c r="AF97" s="16">
        <f>+ROUND(Pozisyon!$U$6*('Data - Simülasyon- P&amp;L'!W97-'Data - Simülasyon- P&amp;L'!D$3),6)</f>
        <v>-1142.90625</v>
      </c>
      <c r="AG97" s="16">
        <f>+ROUND(Pozisyon!$U$7*('Data - Simülasyon- P&amp;L'!X97-'Data - Simülasyon- P&amp;L'!E$3),6)</f>
        <v>0</v>
      </c>
      <c r="AH97" s="16">
        <f>+ROUND(Pozisyon!$U$8*('Data - Simülasyon- P&amp;L'!Y97-'Data - Simülasyon- P&amp;L'!F$3),6)</f>
        <v>-47662.294000000002</v>
      </c>
      <c r="AI97" s="16">
        <f>+ROUND(Pozisyon!$U$9*('Data - Simülasyon- P&amp;L'!Z97-'Data - Simülasyon- P&amp;L'!G$3),6)</f>
        <v>-8987.86</v>
      </c>
      <c r="AJ97" s="16">
        <f>+ROUND(Pozisyon!$U$10*('Data - Simülasyon- P&amp;L'!AA97-'Data - Simülasyon- P&amp;L'!H$3),6)</f>
        <v>-6669</v>
      </c>
      <c r="AK97" s="16">
        <f>+SUM(AD97:AJ97)</f>
        <v>-71103.729250000004</v>
      </c>
      <c r="AL97" s="16">
        <f>+SMALL($AK$3:$AK$254,AB97)</f>
        <v>-19894.894</v>
      </c>
    </row>
    <row r="98" spans="1:38" ht="15" thickBot="1" x14ac:dyDescent="0.35">
      <c r="A98" s="5" t="s">
        <v>379</v>
      </c>
      <c r="B98" s="6">
        <v>7.86</v>
      </c>
      <c r="C98" s="5">
        <v>8.7200000000000006</v>
      </c>
      <c r="D98" s="6">
        <v>4.09</v>
      </c>
      <c r="E98" s="5">
        <v>1.39</v>
      </c>
      <c r="F98" s="5">
        <v>5.59</v>
      </c>
      <c r="G98" s="5">
        <v>4.3499999999999996</v>
      </c>
      <c r="H98" s="5">
        <v>3.6</v>
      </c>
      <c r="J98" s="5" t="s">
        <v>379</v>
      </c>
      <c r="K98" s="11">
        <f>+ROUND(LN(B98/B99),6)</f>
        <v>5.1019999999999998E-3</v>
      </c>
      <c r="L98" s="11">
        <f>+ROUND(LN(C98/C99),6)</f>
        <v>1.147E-3</v>
      </c>
      <c r="M98" s="11">
        <f>+ROUND(LN(D98/D99),6)</f>
        <v>0</v>
      </c>
      <c r="N98" s="11">
        <f>+ROUND(LN(E98/E99),6)</f>
        <v>-1.4286E-2</v>
      </c>
      <c r="O98" s="11">
        <f>+ROUND(LN(F98/F99),6)</f>
        <v>-7.1300000000000001E-3</v>
      </c>
      <c r="P98" s="11">
        <f>+ROUND(LN(G98/G99),6)</f>
        <v>0</v>
      </c>
      <c r="Q98" s="11">
        <f>+ROUND(LN(H98/H99),6)</f>
        <v>-2.1978999999999999E-2</v>
      </c>
      <c r="R98" s="3"/>
      <c r="T98" s="5" t="s">
        <v>97</v>
      </c>
      <c r="U98" s="15">
        <f>+ROUND(B$3*EXP(K98),6)</f>
        <v>7.6388740000000004</v>
      </c>
      <c r="V98" s="15">
        <f>+ROUND(C$3*EXP(L98),6)</f>
        <v>9.3607309999999995</v>
      </c>
      <c r="W98" s="15">
        <f>+ROUND(D$3*EXP(M98),6)</f>
        <v>2.77</v>
      </c>
      <c r="X98" s="15">
        <f>+ROUND(E$3*EXP(N98),6)</f>
        <v>1.133688</v>
      </c>
      <c r="Y98" s="15">
        <f>+ROUND(F$3*EXP(O98),6)</f>
        <v>4.9446190000000003</v>
      </c>
      <c r="Z98" s="15">
        <f>+ROUND(G$3*EXP(P98),6)</f>
        <v>4.33</v>
      </c>
      <c r="AA98" s="15">
        <f>+ROUND(H$3*EXP(Q98),6)</f>
        <v>3.3456519999999998</v>
      </c>
      <c r="AB98" s="1">
        <v>96</v>
      </c>
      <c r="AC98" s="5" t="s">
        <v>97</v>
      </c>
      <c r="AD98" s="16">
        <f>+ROUND(Pozisyon!$U$4*('Data - Simülasyon- P&amp;L'!U98-'Data - Simülasyon- P&amp;L'!B$3),6)</f>
        <v>5597.8559999999998</v>
      </c>
      <c r="AE98" s="16">
        <f>+ROUND(Pozisyon!$U$5*('Data - Simülasyon- P&amp;L'!V98-'Data - Simülasyon- P&amp;L'!C$3),6)</f>
        <v>268.27499999999998</v>
      </c>
      <c r="AF98" s="16">
        <f>+ROUND(Pozisyon!$U$6*('Data - Simülasyon- P&amp;L'!W98-'Data - Simülasyon- P&amp;L'!D$3),6)</f>
        <v>0</v>
      </c>
      <c r="AG98" s="16">
        <f>+ROUND(Pozisyon!$U$7*('Data - Simülasyon- P&amp;L'!X98-'Data - Simülasyon- P&amp;L'!E$3),6)</f>
        <v>-5758.1360000000004</v>
      </c>
      <c r="AH98" s="16">
        <f>+ROUND(Pozisyon!$U$8*('Data - Simülasyon- P&amp;L'!Y98-'Data - Simülasyon- P&amp;L'!F$3),6)</f>
        <v>-7571.5339999999997</v>
      </c>
      <c r="AI98" s="16">
        <f>+ROUND(Pozisyon!$U$9*('Data - Simülasyon- P&amp;L'!Z98-'Data - Simülasyon- P&amp;L'!G$3),6)</f>
        <v>0</v>
      </c>
      <c r="AJ98" s="16">
        <f>+ROUND(Pozisyon!$U$10*('Data - Simülasyon- P&amp;L'!AA98-'Data - Simülasyon- P&amp;L'!H$3),6)</f>
        <v>-26096.148000000001</v>
      </c>
      <c r="AK98" s="16">
        <f>+SUM(AD98:AJ98)</f>
        <v>-33559.687000000005</v>
      </c>
      <c r="AL98" s="16">
        <f>+SMALL($AK$3:$AK$254,AB98)</f>
        <v>-18203.124250000001</v>
      </c>
    </row>
    <row r="99" spans="1:38" ht="15" thickBot="1" x14ac:dyDescent="0.35">
      <c r="A99" s="5" t="s">
        <v>380</v>
      </c>
      <c r="B99" s="6">
        <v>7.82</v>
      </c>
      <c r="C99" s="5">
        <v>8.7100000000000009</v>
      </c>
      <c r="D99" s="6">
        <v>4.09</v>
      </c>
      <c r="E99" s="5">
        <v>1.41</v>
      </c>
      <c r="F99" s="5">
        <v>5.63</v>
      </c>
      <c r="G99" s="5">
        <v>4.3499999999999996</v>
      </c>
      <c r="H99" s="5">
        <v>3.68</v>
      </c>
      <c r="J99" s="5" t="s">
        <v>380</v>
      </c>
      <c r="K99" s="11">
        <f>+ROUND(LN(B99/B100),6)</f>
        <v>-3.8289999999999999E-3</v>
      </c>
      <c r="L99" s="11">
        <f>+ROUND(LN(C99/C100),6)</f>
        <v>-3.4380000000000001E-3</v>
      </c>
      <c r="M99" s="11">
        <f>+ROUND(LN(D99/D100),6)</f>
        <v>-1.4563E-2</v>
      </c>
      <c r="N99" s="11">
        <f>+ROUND(LN(E99/E100),6)</f>
        <v>1.4286E-2</v>
      </c>
      <c r="O99" s="11">
        <f>+ROUND(LN(F99/F100),6)</f>
        <v>-8.8419999999999992E-3</v>
      </c>
      <c r="P99" s="11">
        <f>+ROUND(LN(G99/G100),6)</f>
        <v>-6.8729999999999998E-3</v>
      </c>
      <c r="Q99" s="11">
        <f>+ROUND(LN(H99/H100),6)</f>
        <v>0</v>
      </c>
      <c r="R99" s="3"/>
      <c r="T99" s="5" t="s">
        <v>98</v>
      </c>
      <c r="U99" s="15">
        <f>+ROUND(B$3*EXP(K99),6)</f>
        <v>7.5709549999999997</v>
      </c>
      <c r="V99" s="15">
        <f>+ROUND(C$3*EXP(L99),6)</f>
        <v>9.3179099999999995</v>
      </c>
      <c r="W99" s="15">
        <f>+ROUND(D$3*EXP(M99),6)</f>
        <v>2.7299530000000001</v>
      </c>
      <c r="X99" s="15">
        <f>+ROUND(E$3*EXP(N99),6)</f>
        <v>1.166547</v>
      </c>
      <c r="Y99" s="15">
        <f>+ROUND(F$3*EXP(O99),6)</f>
        <v>4.9361610000000002</v>
      </c>
      <c r="Z99" s="15">
        <f>+ROUND(G$3*EXP(P99),6)</f>
        <v>4.3003419999999997</v>
      </c>
      <c r="AA99" s="15">
        <f>+ROUND(H$3*EXP(Q99),6)</f>
        <v>3.42</v>
      </c>
      <c r="AB99" s="1">
        <v>97</v>
      </c>
      <c r="AC99" s="5" t="s">
        <v>98</v>
      </c>
      <c r="AD99" s="16">
        <f>+ROUND(Pozisyon!$U$4*('Data - Simülasyon- P&amp;L'!U99-'Data - Simülasyon- P&amp;L'!B$3),6)</f>
        <v>-4182.4799999999996</v>
      </c>
      <c r="AE99" s="16">
        <f>+ROUND(Pozisyon!$U$5*('Data - Simülasyon- P&amp;L'!V99-'Data - Simülasyon- P&amp;L'!C$3),6)</f>
        <v>-802.25</v>
      </c>
      <c r="AF99" s="16">
        <f>+ROUND(Pozisyon!$U$6*('Data - Simülasyon- P&amp;L'!W99-'Data - Simülasyon- P&amp;L'!D$3),6)</f>
        <v>-750.88125000000002</v>
      </c>
      <c r="AG99" s="16">
        <f>+ROUND(Pozisyon!$U$7*('Data - Simülasyon- P&amp;L'!X99-'Data - Simülasyon- P&amp;L'!E$3),6)</f>
        <v>5841.0910000000003</v>
      </c>
      <c r="AH99" s="16">
        <f>+ROUND(Pozisyon!$U$8*('Data - Simülasyon- P&amp;L'!Y99-'Data - Simülasyon- P&amp;L'!F$3),6)</f>
        <v>-9381.5460000000003</v>
      </c>
      <c r="AI99" s="16">
        <f>+ROUND(Pozisyon!$U$9*('Data - Simülasyon- P&amp;L'!Z99-'Data - Simülasyon- P&amp;L'!G$3),6)</f>
        <v>-8927.0580000000009</v>
      </c>
      <c r="AJ99" s="16">
        <f>+ROUND(Pozisyon!$U$10*('Data - Simülasyon- P&amp;L'!AA99-'Data - Simülasyon- P&amp;L'!H$3),6)</f>
        <v>0</v>
      </c>
      <c r="AK99" s="16">
        <f>+SUM(AD99:AJ99)</f>
        <v>-18203.124250000001</v>
      </c>
      <c r="AL99" s="16">
        <f>+SMALL($AK$3:$AK$254,AB99)</f>
        <v>-15680.552499999998</v>
      </c>
    </row>
    <row r="100" spans="1:38" ht="15" thickBot="1" x14ac:dyDescent="0.35">
      <c r="A100" s="5" t="s">
        <v>381</v>
      </c>
      <c r="B100" s="6">
        <v>7.85</v>
      </c>
      <c r="C100" s="5">
        <v>8.74</v>
      </c>
      <c r="D100" s="6">
        <v>4.1500000000000004</v>
      </c>
      <c r="E100" s="5">
        <v>1.39</v>
      </c>
      <c r="F100" s="5">
        <v>5.68</v>
      </c>
      <c r="G100" s="5">
        <v>4.38</v>
      </c>
      <c r="H100" s="5">
        <v>3.68</v>
      </c>
      <c r="J100" s="5" t="s">
        <v>381</v>
      </c>
      <c r="K100" s="11">
        <f>+ROUND(LN(B100/B101),6)</f>
        <v>2.0593E-2</v>
      </c>
      <c r="L100" s="11">
        <f>+ROUND(LN(C100/C101),6)</f>
        <v>2.0809999999999999E-2</v>
      </c>
      <c r="M100" s="11">
        <f>+ROUND(LN(D100/D101),6)</f>
        <v>3.4317E-2</v>
      </c>
      <c r="N100" s="11">
        <f>+ROUND(LN(E100/E101),6)</f>
        <v>1.4493000000000001E-2</v>
      </c>
      <c r="O100" s="11">
        <f>+ROUND(LN(F100/F101),6)</f>
        <v>1.2401000000000001E-2</v>
      </c>
      <c r="P100" s="11">
        <f>+ROUND(LN(G100/G101),6)</f>
        <v>9.1739999999999999E-3</v>
      </c>
      <c r="Q100" s="11">
        <f>+ROUND(LN(H100/H101),6)</f>
        <v>1.6438999999999999E-2</v>
      </c>
      <c r="R100" s="3"/>
      <c r="T100" s="5" t="s">
        <v>99</v>
      </c>
      <c r="U100" s="15">
        <f>+ROUND(B$3*EXP(K100),6)</f>
        <v>7.7581290000000003</v>
      </c>
      <c r="V100" s="15">
        <f>+ROUND(C$3*EXP(L100),6)</f>
        <v>9.5466119999999997</v>
      </c>
      <c r="W100" s="15">
        <f>+ROUND(D$3*EXP(M100),6)</f>
        <v>2.866708</v>
      </c>
      <c r="X100" s="15">
        <f>+ROUND(E$3*EXP(N100),6)</f>
        <v>1.1667879999999999</v>
      </c>
      <c r="Y100" s="15">
        <f>+ROUND(F$3*EXP(O100),6)</f>
        <v>5.042141</v>
      </c>
      <c r="Z100" s="15">
        <f>+ROUND(G$3*EXP(P100),6)</f>
        <v>4.3699060000000003</v>
      </c>
      <c r="AA100" s="15">
        <f>+ROUND(H$3*EXP(Q100),6)</f>
        <v>3.4766859999999999</v>
      </c>
      <c r="AB100" s="1">
        <v>98</v>
      </c>
      <c r="AC100" s="5" t="s">
        <v>99</v>
      </c>
      <c r="AD100" s="16">
        <f>+ROUND(Pozisyon!$U$4*('Data - Simülasyon- P&amp;L'!U100-'Data - Simülasyon- P&amp;L'!B$3),6)</f>
        <v>22770.576000000001</v>
      </c>
      <c r="AE100" s="16">
        <f>+ROUND(Pozisyon!$U$5*('Data - Simülasyon- P&amp;L'!V100-'Data - Simülasyon- P&amp;L'!C$3),6)</f>
        <v>4915.3</v>
      </c>
      <c r="AF100" s="16">
        <f>+ROUND(Pozisyon!$U$6*('Data - Simülasyon- P&amp;L'!W100-'Data - Simülasyon- P&amp;L'!D$3),6)</f>
        <v>1813.2750000000001</v>
      </c>
      <c r="AG100" s="16">
        <f>+ROUND(Pozisyon!$U$7*('Data - Simülasyon- P&amp;L'!X100-'Data - Simülasyon- P&amp;L'!E$3),6)</f>
        <v>5926.1639999999998</v>
      </c>
      <c r="AH100" s="16">
        <f>+ROUND(Pozisyon!$U$8*('Data - Simülasyon- P&amp;L'!Y100-'Data - Simülasyon- P&amp;L'!F$3),6)</f>
        <v>13298.174000000001</v>
      </c>
      <c r="AI100" s="16">
        <f>+ROUND(Pozisyon!$U$9*('Data - Simülasyon- P&amp;L'!Z100-'Data - Simülasyon- P&amp;L'!G$3),6)</f>
        <v>12011.706</v>
      </c>
      <c r="AJ100" s="16">
        <f>+ROUND(Pozisyon!$U$10*('Data - Simülasyon- P&amp;L'!AA100-'Data - Simülasyon- P&amp;L'!H$3),6)</f>
        <v>19896.786</v>
      </c>
      <c r="AK100" s="16">
        <f>+SUM(AD100:AJ100)</f>
        <v>80631.981</v>
      </c>
      <c r="AL100" s="16">
        <f>+SMALL($AK$3:$AK$254,AB100)</f>
        <v>-14924.418749999999</v>
      </c>
    </row>
    <row r="101" spans="1:38" ht="15" thickBot="1" x14ac:dyDescent="0.35">
      <c r="A101" s="5" t="s">
        <v>382</v>
      </c>
      <c r="B101" s="6">
        <v>7.69</v>
      </c>
      <c r="C101" s="5">
        <v>8.56</v>
      </c>
      <c r="D101" s="6">
        <v>4.01</v>
      </c>
      <c r="E101" s="5">
        <v>1.37</v>
      </c>
      <c r="F101" s="5">
        <v>5.61</v>
      </c>
      <c r="G101" s="5">
        <v>4.34</v>
      </c>
      <c r="H101" s="5">
        <v>3.62</v>
      </c>
      <c r="J101" s="5" t="s">
        <v>382</v>
      </c>
      <c r="K101" s="11">
        <f>+ROUND(LN(B101/B102),6)</f>
        <v>-3.1992E-2</v>
      </c>
      <c r="L101" s="11">
        <f>+ROUND(LN(C101/C102),6)</f>
        <v>-3.3316999999999999E-2</v>
      </c>
      <c r="M101" s="11">
        <f>+ROUND(LN(D101/D102),6)</f>
        <v>1.5076000000000001E-2</v>
      </c>
      <c r="N101" s="11">
        <f>+ROUND(LN(E101/E102),6)</f>
        <v>-2.8778999999999999E-2</v>
      </c>
      <c r="O101" s="11">
        <f>+ROUND(LN(F101/F102),6)</f>
        <v>-2.4649000000000001E-2</v>
      </c>
      <c r="P101" s="11">
        <f>+ROUND(LN(G101/G102),6)</f>
        <v>-3.1748999999999999E-2</v>
      </c>
      <c r="Q101" s="11">
        <f>+ROUND(LN(H101/H102),6)</f>
        <v>-1.6438999999999999E-2</v>
      </c>
      <c r="R101" s="3"/>
      <c r="T101" s="5" t="s">
        <v>100</v>
      </c>
      <c r="U101" s="15">
        <f>+ROUND(B$3*EXP(K101),6)</f>
        <v>7.3607089999999999</v>
      </c>
      <c r="V101" s="15">
        <f>+ROUND(C$3*EXP(L101),6)</f>
        <v>9.0436180000000004</v>
      </c>
      <c r="W101" s="15">
        <f>+ROUND(D$3*EXP(M101),6)</f>
        <v>2.8120769999999999</v>
      </c>
      <c r="X101" s="15">
        <f>+ROUND(E$3*EXP(N101),6)</f>
        <v>1.1173759999999999</v>
      </c>
      <c r="Y101" s="15">
        <f>+ROUND(F$3*EXP(O101),6)</f>
        <v>4.8587480000000003</v>
      </c>
      <c r="Z101" s="15">
        <f>+ROUND(G$3*EXP(P101),6)</f>
        <v>4.1946859999999999</v>
      </c>
      <c r="AA101" s="15">
        <f>+ROUND(H$3*EXP(Q101),6)</f>
        <v>3.3642379999999998</v>
      </c>
      <c r="AB101" s="1">
        <v>99</v>
      </c>
      <c r="AC101" s="5" t="s">
        <v>100</v>
      </c>
      <c r="AD101" s="16">
        <f>+ROUND(Pozisyon!$U$4*('Data - Simülasyon- P&amp;L'!U101-'Data - Simülasyon- P&amp;L'!B$3),6)</f>
        <v>-34457.904000000002</v>
      </c>
      <c r="AE101" s="16">
        <f>+ROUND(Pozisyon!$U$5*('Data - Simülasyon- P&amp;L'!V101-'Data - Simülasyon- P&amp;L'!C$3),6)</f>
        <v>-7659.55</v>
      </c>
      <c r="AF101" s="16">
        <f>+ROUND(Pozisyon!$U$6*('Data - Simülasyon- P&amp;L'!W101-'Data - Simülasyon- P&amp;L'!D$3),6)</f>
        <v>788.94375000000002</v>
      </c>
      <c r="AG101" s="16">
        <f>+ROUND(Pozisyon!$U$7*('Data - Simülasyon- P&amp;L'!X101-'Data - Simülasyon- P&amp;L'!E$3),6)</f>
        <v>-11516.272000000001</v>
      </c>
      <c r="AH101" s="16">
        <f>+ROUND(Pozisyon!$U$8*('Data - Simülasyon- P&amp;L'!Y101-'Data - Simülasyon- P&amp;L'!F$3),6)</f>
        <v>-25947.928</v>
      </c>
      <c r="AI101" s="16">
        <f>+ROUND(Pozisyon!$U$9*('Data - Simülasyon- P&amp;L'!Z101-'Data - Simülasyon- P&amp;L'!G$3),6)</f>
        <v>-40729.514000000003</v>
      </c>
      <c r="AJ101" s="16">
        <f>+ROUND(Pozisyon!$U$10*('Data - Simülasyon- P&amp;L'!AA101-'Data - Simülasyon- P&amp;L'!H$3),6)</f>
        <v>-19572.462</v>
      </c>
      <c r="AK101" s="16">
        <f>+SUM(AD101:AJ101)</f>
        <v>-139094.68625</v>
      </c>
      <c r="AL101" s="16">
        <f>+SMALL($AK$3:$AK$254,AB101)</f>
        <v>-14662.871249999998</v>
      </c>
    </row>
    <row r="102" spans="1:38" ht="15" thickBot="1" x14ac:dyDescent="0.35">
      <c r="A102" s="5" t="s">
        <v>383</v>
      </c>
      <c r="B102" s="6">
        <v>7.94</v>
      </c>
      <c r="C102" s="5">
        <v>8.85</v>
      </c>
      <c r="D102" s="6">
        <v>3.95</v>
      </c>
      <c r="E102" s="5">
        <v>1.41</v>
      </c>
      <c r="F102" s="5">
        <v>5.75</v>
      </c>
      <c r="G102" s="5">
        <v>4.4800000000000004</v>
      </c>
      <c r="H102" s="5">
        <v>3.68</v>
      </c>
      <c r="J102" s="5" t="s">
        <v>383</v>
      </c>
      <c r="K102" s="11">
        <f>+ROUND(LN(B102/B103),6)</f>
        <v>5.0509999999999999E-3</v>
      </c>
      <c r="L102" s="11">
        <f>+ROUND(LN(C102/C103),6)</f>
        <v>3.4486000000000003E-2</v>
      </c>
      <c r="M102" s="11">
        <f>+ROUND(LN(D102/D103),6)</f>
        <v>0</v>
      </c>
      <c r="N102" s="11">
        <f>+ROUND(LN(E102/E103),6)</f>
        <v>-1.4085E-2</v>
      </c>
      <c r="O102" s="11">
        <f>+ROUND(LN(F102/F103),6)</f>
        <v>5.3584E-2</v>
      </c>
      <c r="P102" s="11">
        <f>+ROUND(LN(G102/G103),6)</f>
        <v>2.0294E-2</v>
      </c>
      <c r="Q102" s="11">
        <f>+ROUND(LN(H102/H103),6)</f>
        <v>2.4760999999999998E-2</v>
      </c>
      <c r="R102" s="3"/>
      <c r="T102" s="5" t="s">
        <v>101</v>
      </c>
      <c r="U102" s="15">
        <f>+ROUND(B$3*EXP(K102),6)</f>
        <v>7.6384850000000002</v>
      </c>
      <c r="V102" s="15">
        <f>+ROUND(C$3*EXP(L102),6)</f>
        <v>9.6780679999999997</v>
      </c>
      <c r="W102" s="15">
        <f>+ROUND(D$3*EXP(M102),6)</f>
        <v>2.77</v>
      </c>
      <c r="X102" s="15">
        <f>+ROUND(E$3*EXP(N102),6)</f>
        <v>1.1339159999999999</v>
      </c>
      <c r="Y102" s="15">
        <f>+ROUND(F$3*EXP(O102),6)</f>
        <v>5.2541270000000004</v>
      </c>
      <c r="Z102" s="15">
        <f>+ROUND(G$3*EXP(P102),6)</f>
        <v>4.4187709999999996</v>
      </c>
      <c r="AA102" s="15">
        <f>+ROUND(H$3*EXP(Q102),6)</f>
        <v>3.5057399999999999</v>
      </c>
      <c r="AB102" s="1">
        <v>100</v>
      </c>
      <c r="AC102" s="5" t="s">
        <v>101</v>
      </c>
      <c r="AD102" s="16">
        <f>+ROUND(Pozisyon!$U$4*('Data - Simülasyon- P&amp;L'!U102-'Data - Simülasyon- P&amp;L'!B$3),6)</f>
        <v>5541.84</v>
      </c>
      <c r="AE102" s="16">
        <f>+ROUND(Pozisyon!$U$5*('Data - Simülasyon- P&amp;L'!V102-'Data - Simülasyon- P&amp;L'!C$3),6)</f>
        <v>8201.7000000000007</v>
      </c>
      <c r="AF102" s="16">
        <f>+ROUND(Pozisyon!$U$6*('Data - Simülasyon- P&amp;L'!W102-'Data - Simülasyon- P&amp;L'!D$3),6)</f>
        <v>0</v>
      </c>
      <c r="AG102" s="16">
        <f>+ROUND(Pozisyon!$U$7*('Data - Simülasyon- P&amp;L'!X102-'Data - Simülasyon- P&amp;L'!E$3),6)</f>
        <v>-5677.652</v>
      </c>
      <c r="AH102" s="16">
        <f>+ROUND(Pozisyon!$U$8*('Data - Simülasyon- P&amp;L'!Y102-'Data - Simülasyon- P&amp;L'!F$3),6)</f>
        <v>58663.178</v>
      </c>
      <c r="AI102" s="16">
        <f>+ROUND(Pozisyon!$U$9*('Data - Simülasyon- P&amp;L'!Z102-'Data - Simülasyon- P&amp;L'!G$3),6)</f>
        <v>26720.071</v>
      </c>
      <c r="AJ102" s="16">
        <f>+ROUND(Pozisyon!$U$10*('Data - Simülasyon- P&amp;L'!AA102-'Data - Simülasyon- P&amp;L'!H$3),6)</f>
        <v>30094.74</v>
      </c>
      <c r="AK102" s="16">
        <f>+SUM(AD102:AJ102)</f>
        <v>123543.87700000001</v>
      </c>
      <c r="AL102" s="16">
        <f>+SMALL($AK$3:$AK$254,AB102)</f>
        <v>-11878.8575</v>
      </c>
    </row>
    <row r="103" spans="1:38" ht="15" thickBot="1" x14ac:dyDescent="0.35">
      <c r="A103" s="5" t="s">
        <v>384</v>
      </c>
      <c r="B103" s="6">
        <v>7.9</v>
      </c>
      <c r="C103" s="5">
        <v>8.5500000000000007</v>
      </c>
      <c r="D103" s="6">
        <v>3.95</v>
      </c>
      <c r="E103" s="5">
        <v>1.43</v>
      </c>
      <c r="F103" s="5">
        <v>5.45</v>
      </c>
      <c r="G103" s="5">
        <v>4.3899999999999997</v>
      </c>
      <c r="H103" s="5">
        <v>3.59</v>
      </c>
      <c r="J103" s="5" t="s">
        <v>384</v>
      </c>
      <c r="K103" s="11">
        <f>+ROUND(LN(B103/B104),6)</f>
        <v>3.8714999999999999E-2</v>
      </c>
      <c r="L103" s="11">
        <f>+ROUND(LN(C103/C104),6)</f>
        <v>4.0578000000000003E-2</v>
      </c>
      <c r="M103" s="11">
        <f>+ROUND(LN(D103/D104),6)</f>
        <v>0</v>
      </c>
      <c r="N103" s="11">
        <f>+ROUND(LN(E103/E104),6)</f>
        <v>2.1201999999999999E-2</v>
      </c>
      <c r="O103" s="11">
        <f>+ROUND(LN(F103/F104),6)</f>
        <v>5.8562999999999997E-2</v>
      </c>
      <c r="P103" s="11">
        <f>+ROUND(LN(G103/G104),6)</f>
        <v>3.2410000000000001E-2</v>
      </c>
      <c r="Q103" s="11">
        <f>+ROUND(LN(H103/H104),6)</f>
        <v>2.8250000000000001E-2</v>
      </c>
      <c r="R103" s="3"/>
      <c r="T103" s="5" t="s">
        <v>102</v>
      </c>
      <c r="U103" s="15">
        <f>+ROUND(B$3*EXP(K103),6)</f>
        <v>7.900004</v>
      </c>
      <c r="V103" s="15">
        <f>+ROUND(C$3*EXP(L103),6)</f>
        <v>9.7372069999999997</v>
      </c>
      <c r="W103" s="15">
        <f>+ROUND(D$3*EXP(M103),6)</f>
        <v>2.77</v>
      </c>
      <c r="X103" s="15">
        <f>+ROUND(E$3*EXP(N103),6)</f>
        <v>1.1746430000000001</v>
      </c>
      <c r="Y103" s="15">
        <f>+ROUND(F$3*EXP(O103),6)</f>
        <v>5.2803529999999999</v>
      </c>
      <c r="Z103" s="15">
        <f>+ROUND(G$3*EXP(P103),6)</f>
        <v>4.4726340000000002</v>
      </c>
      <c r="AA103" s="15">
        <f>+ROUND(H$3*EXP(Q103),6)</f>
        <v>3.5179930000000001</v>
      </c>
      <c r="AB103" s="1">
        <v>101</v>
      </c>
      <c r="AC103" s="5" t="s">
        <v>102</v>
      </c>
      <c r="AD103" s="16">
        <f>+ROUND(Pozisyon!$U$4*('Data - Simülasyon- P&amp;L'!U103-'Data - Simülasyon- P&amp;L'!B$3),6)</f>
        <v>43200.576000000001</v>
      </c>
      <c r="AE103" s="16">
        <f>+ROUND(Pozisyon!$U$5*('Data - Simülasyon- P&amp;L'!V103-'Data - Simülasyon- P&amp;L'!C$3),6)</f>
        <v>9680.1749999999993</v>
      </c>
      <c r="AF103" s="16">
        <f>+ROUND(Pozisyon!$U$6*('Data - Simülasyon- P&amp;L'!W103-'Data - Simülasyon- P&amp;L'!D$3),6)</f>
        <v>0</v>
      </c>
      <c r="AG103" s="16">
        <f>+ROUND(Pozisyon!$U$7*('Data - Simülasyon- P&amp;L'!X103-'Data - Simülasyon- P&amp;L'!E$3),6)</f>
        <v>8698.9789999999994</v>
      </c>
      <c r="AH103" s="16">
        <f>+ROUND(Pozisyon!$U$8*('Data - Simülasyon- P&amp;L'!Y103-'Data - Simülasyon- P&amp;L'!F$3),6)</f>
        <v>64275.542000000001</v>
      </c>
      <c r="AI103" s="16">
        <f>+ROUND(Pozisyon!$U$9*('Data - Simülasyon- P&amp;L'!Z103-'Data - Simülasyon- P&amp;L'!G$3),6)</f>
        <v>42932.834000000003</v>
      </c>
      <c r="AJ103" s="16">
        <f>+ROUND(Pozisyon!$U$10*('Data - Simülasyon- P&amp;L'!AA103-'Data - Simülasyon- P&amp;L'!H$3),6)</f>
        <v>34395.542999999998</v>
      </c>
      <c r="AK103" s="16">
        <f>+SUM(AD103:AJ103)</f>
        <v>203183.649</v>
      </c>
      <c r="AL103" s="16">
        <f>+SMALL($AK$3:$AK$254,AB103)</f>
        <v>-11565.458499999999</v>
      </c>
    </row>
    <row r="104" spans="1:38" ht="15" thickBot="1" x14ac:dyDescent="0.35">
      <c r="A104" s="5" t="s">
        <v>385</v>
      </c>
      <c r="B104" s="6">
        <v>7.6</v>
      </c>
      <c r="C104" s="5">
        <v>8.2100000000000009</v>
      </c>
      <c r="D104" s="6">
        <v>3.95</v>
      </c>
      <c r="E104" s="5">
        <v>1.4</v>
      </c>
      <c r="F104" s="5">
        <v>5.14</v>
      </c>
      <c r="G104" s="5">
        <v>4.25</v>
      </c>
      <c r="H104" s="5">
        <v>3.49</v>
      </c>
      <c r="J104" s="5" t="s">
        <v>385</v>
      </c>
      <c r="K104" s="11">
        <f>+ROUND(LN(B104/B105),6)</f>
        <v>1.5914999999999999E-2</v>
      </c>
      <c r="L104" s="11">
        <f>+ROUND(LN(C104/C105),6)</f>
        <v>1.1023E-2</v>
      </c>
      <c r="M104" s="11">
        <f>+ROUND(LN(D104/D105),6)</f>
        <v>0</v>
      </c>
      <c r="N104" s="11">
        <f>+ROUND(LN(E104/E105),6)</f>
        <v>-7.1170000000000001E-3</v>
      </c>
      <c r="O104" s="11">
        <f>+ROUND(LN(F104/F105),6)</f>
        <v>3.8990000000000001E-3</v>
      </c>
      <c r="P104" s="11">
        <f>+ROUND(LN(G104/G105),6)</f>
        <v>2.356E-3</v>
      </c>
      <c r="Q104" s="11">
        <f>+ROUND(LN(H104/H105),6)</f>
        <v>1.443E-2</v>
      </c>
      <c r="R104" s="3"/>
      <c r="T104" s="5" t="s">
        <v>103</v>
      </c>
      <c r="U104" s="15">
        <f>+ROUND(B$3*EXP(K104),6)</f>
        <v>7.7219220000000002</v>
      </c>
      <c r="V104" s="15">
        <f>+ROUND(C$3*EXP(L104),6)</f>
        <v>9.4536350000000002</v>
      </c>
      <c r="W104" s="15">
        <f>+ROUND(D$3*EXP(M104),6)</f>
        <v>2.77</v>
      </c>
      <c r="X104" s="15">
        <f>+ROUND(E$3*EXP(N104),6)</f>
        <v>1.141845</v>
      </c>
      <c r="Y104" s="15">
        <f>+ROUND(F$3*EXP(O104),6)</f>
        <v>4.9994550000000002</v>
      </c>
      <c r="Z104" s="15">
        <f>+ROUND(G$3*EXP(P104),6)</f>
        <v>4.3402139999999996</v>
      </c>
      <c r="AA104" s="15">
        <f>+ROUND(H$3*EXP(Q104),6)</f>
        <v>3.4697079999999998</v>
      </c>
      <c r="AB104" s="1">
        <v>102</v>
      </c>
      <c r="AC104" s="5" t="s">
        <v>103</v>
      </c>
      <c r="AD104" s="16">
        <f>+ROUND(Pozisyon!$U$4*('Data - Simülasyon- P&amp;L'!U104-'Data - Simülasyon- P&amp;L'!B$3),6)</f>
        <v>17556.768</v>
      </c>
      <c r="AE104" s="16">
        <f>+ROUND(Pozisyon!$U$5*('Data - Simülasyon- P&amp;L'!V104-'Data - Simülasyon- P&amp;L'!C$3),6)</f>
        <v>2590.875</v>
      </c>
      <c r="AF104" s="16">
        <f>+ROUND(Pozisyon!$U$6*('Data - Simülasyon- P&amp;L'!W104-'Data - Simülasyon- P&amp;L'!D$3),6)</f>
        <v>0</v>
      </c>
      <c r="AG104" s="16">
        <f>+ROUND(Pozisyon!$U$7*('Data - Simülasyon- P&amp;L'!X104-'Data - Simülasyon- P&amp;L'!E$3),6)</f>
        <v>-2878.7150000000001</v>
      </c>
      <c r="AH104" s="16">
        <f>+ROUND(Pozisyon!$U$8*('Data - Simülasyon- P&amp;L'!Y104-'Data - Simülasyon- P&amp;L'!F$3),6)</f>
        <v>4163.37</v>
      </c>
      <c r="AI104" s="16">
        <f>+ROUND(Pozisyon!$U$9*('Data - Simülasyon- P&amp;L'!Z104-'Data - Simülasyon- P&amp;L'!G$3),6)</f>
        <v>3074.4140000000002</v>
      </c>
      <c r="AJ104" s="16">
        <f>+ROUND(Pozisyon!$U$10*('Data - Simülasyon- P&amp;L'!AA104-'Data - Simülasyon- P&amp;L'!H$3),6)</f>
        <v>17447.508000000002</v>
      </c>
      <c r="AK104" s="16">
        <f>+SUM(AD104:AJ104)</f>
        <v>41954.22</v>
      </c>
      <c r="AL104" s="16">
        <f>+SMALL($AK$3:$AK$254,AB104)</f>
        <v>-11045.317499999997</v>
      </c>
    </row>
    <row r="105" spans="1:38" ht="15" thickBot="1" x14ac:dyDescent="0.35">
      <c r="A105" s="5" t="s">
        <v>386</v>
      </c>
      <c r="B105" s="6">
        <v>7.48</v>
      </c>
      <c r="C105" s="5">
        <v>8.1199999999999992</v>
      </c>
      <c r="D105" s="6">
        <v>3.95</v>
      </c>
      <c r="E105" s="5">
        <v>1.41</v>
      </c>
      <c r="F105" s="5">
        <v>5.12</v>
      </c>
      <c r="G105" s="5">
        <v>4.24</v>
      </c>
      <c r="H105" s="5">
        <v>3.44</v>
      </c>
      <c r="J105" s="5" t="s">
        <v>386</v>
      </c>
      <c r="K105" s="11">
        <f>+ROUND(LN(B105/B106),6)</f>
        <v>2.0257000000000001E-2</v>
      </c>
      <c r="L105" s="11">
        <f>+ROUND(LN(C105/C106),6)</f>
        <v>2.6202E-2</v>
      </c>
      <c r="M105" s="11">
        <f>+ROUND(LN(D105/D106),6)</f>
        <v>0</v>
      </c>
      <c r="N105" s="11">
        <f>+ROUND(LN(E105/E106),6)</f>
        <v>3.6104999999999998E-2</v>
      </c>
      <c r="O105" s="11">
        <f>+ROUND(LN(F105/F106),6)</f>
        <v>1.9550000000000001E-3</v>
      </c>
      <c r="P105" s="11">
        <f>+ROUND(LN(G105/G106),6)</f>
        <v>1.6646999999999999E-2</v>
      </c>
      <c r="Q105" s="11">
        <f>+ROUND(LN(H105/H106),6)</f>
        <v>1.1696E-2</v>
      </c>
      <c r="R105" s="3"/>
      <c r="T105" s="5" t="s">
        <v>104</v>
      </c>
      <c r="U105" s="15">
        <f>+ROUND(B$3*EXP(K105),6)</f>
        <v>7.7555230000000002</v>
      </c>
      <c r="V105" s="15">
        <f>+ROUND(C$3*EXP(L105),6)</f>
        <v>9.5982269999999996</v>
      </c>
      <c r="W105" s="15">
        <f>+ROUND(D$3*EXP(M105),6)</f>
        <v>2.77</v>
      </c>
      <c r="X105" s="15">
        <f>+ROUND(E$3*EXP(N105),6)</f>
        <v>1.1922790000000001</v>
      </c>
      <c r="Y105" s="15">
        <f>+ROUND(F$3*EXP(O105),6)</f>
        <v>4.9897450000000001</v>
      </c>
      <c r="Z105" s="15">
        <f>+ROUND(G$3*EXP(P105),6)</f>
        <v>4.402685</v>
      </c>
      <c r="AA105" s="15">
        <f>+ROUND(H$3*EXP(Q105),6)</f>
        <v>3.4602349999999999</v>
      </c>
      <c r="AB105" s="1">
        <v>103</v>
      </c>
      <c r="AC105" s="5" t="s">
        <v>104</v>
      </c>
      <c r="AD105" s="16">
        <f>+ROUND(Pozisyon!$U$4*('Data - Simülasyon- P&amp;L'!U105-'Data - Simülasyon- P&amp;L'!B$3),6)</f>
        <v>22395.312000000002</v>
      </c>
      <c r="AE105" s="16">
        <f>+ROUND(Pozisyon!$U$5*('Data - Simülasyon- P&amp;L'!V105-'Data - Simülasyon- P&amp;L'!C$3),6)</f>
        <v>6205.6750000000002</v>
      </c>
      <c r="AF105" s="16">
        <f>+ROUND(Pozisyon!$U$6*('Data - Simülasyon- P&amp;L'!W105-'Data - Simülasyon- P&amp;L'!D$3),6)</f>
        <v>0</v>
      </c>
      <c r="AG105" s="16">
        <f>+ROUND(Pozisyon!$U$7*('Data - Simülasyon- P&amp;L'!X105-'Data - Simülasyon- P&amp;L'!E$3),6)</f>
        <v>14924.486999999999</v>
      </c>
      <c r="AH105" s="16">
        <f>+ROUND(Pozisyon!$U$8*('Data - Simülasyon- P&amp;L'!Y105-'Data - Simülasyon- P&amp;L'!F$3),6)</f>
        <v>2085.4299999999998</v>
      </c>
      <c r="AI105" s="16">
        <f>+ROUND(Pozisyon!$U$9*('Data - Simülasyon- P&amp;L'!Z105-'Data - Simülasyon- P&amp;L'!G$3),6)</f>
        <v>21878.185000000001</v>
      </c>
      <c r="AJ105" s="16">
        <f>+ROUND(Pozisyon!$U$10*('Data - Simülasyon- P&amp;L'!AA105-'Data - Simülasyon- P&amp;L'!H$3),6)</f>
        <v>14122.485000000001</v>
      </c>
      <c r="AK105" s="16">
        <f>+SUM(AD105:AJ105)</f>
        <v>81611.574000000008</v>
      </c>
      <c r="AL105" s="16">
        <f>+SMALL($AK$3:$AK$254,AB105)</f>
        <v>-9111.8994999999995</v>
      </c>
    </row>
    <row r="106" spans="1:38" ht="15" thickBot="1" x14ac:dyDescent="0.35">
      <c r="A106" s="5" t="s">
        <v>387</v>
      </c>
      <c r="B106" s="6">
        <v>7.33</v>
      </c>
      <c r="C106" s="5">
        <v>7.91</v>
      </c>
      <c r="D106" s="6">
        <v>3.95</v>
      </c>
      <c r="E106" s="5">
        <v>1.36</v>
      </c>
      <c r="F106" s="5">
        <v>5.1100000000000003</v>
      </c>
      <c r="G106" s="5">
        <v>4.17</v>
      </c>
      <c r="H106" s="5">
        <v>3.4</v>
      </c>
      <c r="J106" s="5" t="s">
        <v>387</v>
      </c>
      <c r="K106" s="11">
        <f>+ROUND(LN(B106/B107),6)</f>
        <v>-9.5040000000000003E-3</v>
      </c>
      <c r="L106" s="11">
        <f>+ROUND(LN(C106/C107),6)</f>
        <v>-2.7432999999999999E-2</v>
      </c>
      <c r="M106" s="11">
        <f>+ROUND(LN(D106/D107),6)</f>
        <v>0</v>
      </c>
      <c r="N106" s="11">
        <f>+ROUND(LN(E106/E107),6)</f>
        <v>-2.1819000000000002E-2</v>
      </c>
      <c r="O106" s="11">
        <f>+ROUND(LN(F106/F107),6)</f>
        <v>-2.1298000000000001E-2</v>
      </c>
      <c r="P106" s="11">
        <f>+ROUND(LN(G106/G107),6)</f>
        <v>-3.9958E-2</v>
      </c>
      <c r="Q106" s="11">
        <f>+ROUND(LN(H106/H107),6)</f>
        <v>-2.0379000000000001E-2</v>
      </c>
      <c r="R106" s="3"/>
      <c r="T106" s="5" t="s">
        <v>105</v>
      </c>
      <c r="U106" s="15">
        <f>+ROUND(B$3*EXP(K106),6)</f>
        <v>7.5281120000000001</v>
      </c>
      <c r="V106" s="15">
        <f>+ROUND(C$3*EXP(L106),6)</f>
        <v>9.0969879999999996</v>
      </c>
      <c r="W106" s="15">
        <f>+ROUND(D$3*EXP(M106),6)</f>
        <v>2.77</v>
      </c>
      <c r="X106" s="15">
        <f>+ROUND(E$3*EXP(N106),6)</f>
        <v>1.1251800000000001</v>
      </c>
      <c r="Y106" s="15">
        <f>+ROUND(F$3*EXP(O106),6)</f>
        <v>4.875057</v>
      </c>
      <c r="Z106" s="15">
        <f>+ROUND(G$3*EXP(P106),6)</f>
        <v>4.160393</v>
      </c>
      <c r="AA106" s="15">
        <f>+ROUND(H$3*EXP(Q106),6)</f>
        <v>3.3510089999999999</v>
      </c>
      <c r="AB106" s="1">
        <v>104</v>
      </c>
      <c r="AC106" s="5" t="s">
        <v>105</v>
      </c>
      <c r="AD106" s="16">
        <f>+ROUND(Pozisyon!$U$4*('Data - Simülasyon- P&amp;L'!U106-'Data - Simülasyon- P&amp;L'!B$3),6)</f>
        <v>-10351.871999999999</v>
      </c>
      <c r="AE106" s="16">
        <f>+ROUND(Pozisyon!$U$5*('Data - Simülasyon- P&amp;L'!V106-'Data - Simülasyon- P&amp;L'!C$3),6)</f>
        <v>-6325.3</v>
      </c>
      <c r="AF106" s="16">
        <f>+ROUND(Pozisyon!$U$6*('Data - Simülasyon- P&amp;L'!W106-'Data - Simülasyon- P&amp;L'!D$3),6)</f>
        <v>0</v>
      </c>
      <c r="AG106" s="16">
        <f>+ROUND(Pozisyon!$U$7*('Data - Simülasyon- P&amp;L'!X106-'Data - Simülasyon- P&amp;L'!E$3),6)</f>
        <v>-8761.4599999999991</v>
      </c>
      <c r="AH106" s="16">
        <f>+ROUND(Pozisyon!$U$8*('Data - Simülasyon- P&amp;L'!Y106-'Data - Simülasyon- P&amp;L'!F$3),6)</f>
        <v>-22457.802</v>
      </c>
      <c r="AI106" s="16">
        <f>+ROUND(Pozisyon!$U$9*('Data - Simülasyon- P&amp;L'!Z106-'Data - Simülasyon- P&amp;L'!G$3),6)</f>
        <v>-51051.707000000002</v>
      </c>
      <c r="AJ106" s="16">
        <f>+ROUND(Pozisyon!$U$10*('Data - Simülasyon- P&amp;L'!AA106-'Data - Simülasyon- P&amp;L'!H$3),6)</f>
        <v>-24215.841</v>
      </c>
      <c r="AK106" s="16">
        <f>+SUM(AD106:AJ106)</f>
        <v>-123163.982</v>
      </c>
      <c r="AL106" s="16">
        <f>+SMALL($AK$3:$AK$254,AB106)</f>
        <v>-6786.5057500000003</v>
      </c>
    </row>
    <row r="107" spans="1:38" ht="15" thickBot="1" x14ac:dyDescent="0.35">
      <c r="A107" s="5" t="s">
        <v>388</v>
      </c>
      <c r="B107" s="6">
        <v>7.4</v>
      </c>
      <c r="C107" s="5">
        <v>8.1300000000000008</v>
      </c>
      <c r="D107" s="6">
        <v>3.95</v>
      </c>
      <c r="E107" s="5">
        <v>1.39</v>
      </c>
      <c r="F107" s="5">
        <v>5.22</v>
      </c>
      <c r="G107" s="5">
        <v>4.34</v>
      </c>
      <c r="H107" s="5">
        <v>3.47</v>
      </c>
      <c r="J107" s="5" t="s">
        <v>388</v>
      </c>
      <c r="K107" s="11">
        <f>+ROUND(LN(B107/B108),6)</f>
        <v>-5.391E-3</v>
      </c>
      <c r="L107" s="11">
        <f>+ROUND(LN(C107/C108),6)</f>
        <v>2.1132000000000001E-2</v>
      </c>
      <c r="M107" s="11">
        <f>+ROUND(LN(D107/D108),6)</f>
        <v>-2.5279999999999999E-3</v>
      </c>
      <c r="N107" s="11">
        <f>+ROUND(LN(E107/E108),6)</f>
        <v>0</v>
      </c>
      <c r="O107" s="11">
        <f>+ROUND(LN(F107/F108),6)</f>
        <v>1.918E-3</v>
      </c>
      <c r="P107" s="11">
        <f>+ROUND(LN(G107/G108),6)</f>
        <v>-1.3729999999999999E-2</v>
      </c>
      <c r="Q107" s="11">
        <f>+ROUND(LN(H107/H108),6)</f>
        <v>-8.6079999999999993E-3</v>
      </c>
      <c r="R107" s="3"/>
      <c r="T107" s="5" t="s">
        <v>106</v>
      </c>
      <c r="U107" s="15">
        <f>+ROUND(B$3*EXP(K107),6)</f>
        <v>7.5591390000000001</v>
      </c>
      <c r="V107" s="15">
        <f>+ROUND(C$3*EXP(L107),6)</f>
        <v>9.5496870000000005</v>
      </c>
      <c r="W107" s="15">
        <f>+ROUND(D$3*EXP(M107),6)</f>
        <v>2.7630059999999999</v>
      </c>
      <c r="X107" s="15">
        <f>+ROUND(E$3*EXP(N107),6)</f>
        <v>1.1499999999999999</v>
      </c>
      <c r="Y107" s="15">
        <f>+ROUND(F$3*EXP(O107),6)</f>
        <v>4.9895610000000001</v>
      </c>
      <c r="Z107" s="15">
        <f>+ROUND(G$3*EXP(P107),6)</f>
        <v>4.2709549999999998</v>
      </c>
      <c r="AA107" s="15">
        <f>+ROUND(H$3*EXP(Q107),6)</f>
        <v>3.3906869999999998</v>
      </c>
      <c r="AB107" s="1">
        <v>105</v>
      </c>
      <c r="AC107" s="5" t="s">
        <v>106</v>
      </c>
      <c r="AD107" s="16">
        <f>+ROUND(Pozisyon!$U$4*('Data - Simülasyon- P&amp;L'!U107-'Data - Simülasyon- P&amp;L'!B$3),6)</f>
        <v>-5883.9840000000004</v>
      </c>
      <c r="AE107" s="16">
        <f>+ROUND(Pozisyon!$U$5*('Data - Simülasyon- P&amp;L'!V107-'Data - Simülasyon- P&amp;L'!C$3),6)</f>
        <v>4992.1750000000002</v>
      </c>
      <c r="AF107" s="16">
        <f>+ROUND(Pozisyon!$U$6*('Data - Simülasyon- P&amp;L'!W107-'Data - Simülasyon- P&amp;L'!D$3),6)</f>
        <v>-131.13749999999999</v>
      </c>
      <c r="AG107" s="16">
        <f>+ROUND(Pozisyon!$U$7*('Data - Simülasyon- P&amp;L'!X107-'Data - Simülasyon- P&amp;L'!E$3),6)</f>
        <v>0</v>
      </c>
      <c r="AH107" s="16">
        <f>+ROUND(Pozisyon!$U$8*('Data - Simülasyon- P&amp;L'!Y107-'Data - Simülasyon- P&amp;L'!F$3),6)</f>
        <v>2046.0540000000001</v>
      </c>
      <c r="AI107" s="16">
        <f>+ROUND(Pozisyon!$U$9*('Data - Simülasyon- P&amp;L'!Z107-'Data - Simülasyon- P&amp;L'!G$3),6)</f>
        <v>-17772.544999999998</v>
      </c>
      <c r="AJ107" s="16">
        <f>+ROUND(Pozisyon!$U$10*('Data - Simülasyon- P&amp;L'!AA107-'Data - Simülasyon- P&amp;L'!H$3),6)</f>
        <v>-10288.862999999999</v>
      </c>
      <c r="AK107" s="16">
        <f>+SUM(AD107:AJ107)</f>
        <v>-27038.300499999998</v>
      </c>
      <c r="AL107" s="16">
        <f>+SMALL($AK$3:$AK$254,AB107)</f>
        <v>-6310.4872499999992</v>
      </c>
    </row>
    <row r="108" spans="1:38" ht="15" thickBot="1" x14ac:dyDescent="0.35">
      <c r="A108" s="5" t="s">
        <v>389</v>
      </c>
      <c r="B108" s="6">
        <v>7.44</v>
      </c>
      <c r="C108" s="5">
        <v>7.96</v>
      </c>
      <c r="D108" s="6">
        <v>3.96</v>
      </c>
      <c r="E108" s="5">
        <v>1.39</v>
      </c>
      <c r="F108" s="5">
        <v>5.21</v>
      </c>
      <c r="G108" s="5">
        <v>4.4000000000000004</v>
      </c>
      <c r="H108" s="5">
        <v>3.5</v>
      </c>
      <c r="J108" s="5" t="s">
        <v>389</v>
      </c>
      <c r="K108" s="11">
        <f>+ROUND(LN(B108/B109),6)</f>
        <v>1.3532000000000001E-2</v>
      </c>
      <c r="L108" s="11">
        <f>+ROUND(LN(C108/C109),6)</f>
        <v>1.3915E-2</v>
      </c>
      <c r="M108" s="11">
        <f>+ROUND(LN(D108/D109),6)</f>
        <v>0</v>
      </c>
      <c r="N108" s="11">
        <f>+ROUND(LN(E108/E109),6)</f>
        <v>5.9277000000000003E-2</v>
      </c>
      <c r="O108" s="11">
        <f>+ROUND(LN(F108/F109),6)</f>
        <v>5.7749999999999998E-3</v>
      </c>
      <c r="P108" s="11">
        <f>+ROUND(LN(G108/G109),6)</f>
        <v>0</v>
      </c>
      <c r="Q108" s="11">
        <f>+ROUND(LN(H108/H109),6)</f>
        <v>2.0202999999999999E-2</v>
      </c>
      <c r="R108" s="3"/>
      <c r="T108" s="5" t="s">
        <v>107</v>
      </c>
      <c r="U108" s="15">
        <f>+ROUND(B$3*EXP(K108),6)</f>
        <v>7.7035419999999997</v>
      </c>
      <c r="V108" s="15">
        <f>+ROUND(C$3*EXP(L108),6)</f>
        <v>9.4810149999999993</v>
      </c>
      <c r="W108" s="15">
        <f>+ROUND(D$3*EXP(M108),6)</f>
        <v>2.77</v>
      </c>
      <c r="X108" s="15">
        <f>+ROUND(E$3*EXP(N108),6)</f>
        <v>1.220229</v>
      </c>
      <c r="Y108" s="15">
        <f>+ROUND(F$3*EXP(O108),6)</f>
        <v>5.0088429999999997</v>
      </c>
      <c r="Z108" s="15">
        <f>+ROUND(G$3*EXP(P108),6)</f>
        <v>4.33</v>
      </c>
      <c r="AA108" s="15">
        <f>+ROUND(H$3*EXP(Q108),6)</f>
        <v>3.4897969999999998</v>
      </c>
      <c r="AB108" s="1">
        <v>106</v>
      </c>
      <c r="AC108" s="5" t="s">
        <v>107</v>
      </c>
      <c r="AD108" s="16">
        <f>+ROUND(Pozisyon!$U$4*('Data - Simülasyon- P&amp;L'!U108-'Data - Simülasyon- P&amp;L'!B$3),6)</f>
        <v>14910.048000000001</v>
      </c>
      <c r="AE108" s="16">
        <f>+ROUND(Pozisyon!$U$5*('Data - Simülasyon- P&amp;L'!V108-'Data - Simülasyon- P&amp;L'!C$3),6)</f>
        <v>3275.375</v>
      </c>
      <c r="AF108" s="16">
        <f>+ROUND(Pozisyon!$U$6*('Data - Simülasyon- P&amp;L'!W108-'Data - Simülasyon- P&amp;L'!D$3),6)</f>
        <v>0</v>
      </c>
      <c r="AG108" s="16">
        <f>+ROUND(Pozisyon!$U$7*('Data - Simülasyon- P&amp;L'!X108-'Data - Simülasyon- P&amp;L'!E$3),6)</f>
        <v>24790.837</v>
      </c>
      <c r="AH108" s="16">
        <f>+ROUND(Pozisyon!$U$8*('Data - Simülasyon- P&amp;L'!Y108-'Data - Simülasyon- P&amp;L'!F$3),6)</f>
        <v>6172.402</v>
      </c>
      <c r="AI108" s="16">
        <f>+ROUND(Pozisyon!$U$9*('Data - Simülasyon- P&amp;L'!Z108-'Data - Simülasyon- P&amp;L'!G$3),6)</f>
        <v>0</v>
      </c>
      <c r="AJ108" s="16">
        <f>+ROUND(Pozisyon!$U$10*('Data - Simülasyon- P&amp;L'!AA108-'Data - Simülasyon- P&amp;L'!H$3),6)</f>
        <v>24498.746999999999</v>
      </c>
      <c r="AK108" s="16">
        <f>+SUM(AD108:AJ108)</f>
        <v>73647.409</v>
      </c>
      <c r="AL108" s="16">
        <f>+SMALL($AK$3:$AK$254,AB108)</f>
        <v>-5428.2037500000006</v>
      </c>
    </row>
    <row r="109" spans="1:38" ht="15" thickBot="1" x14ac:dyDescent="0.35">
      <c r="A109" s="5" t="s">
        <v>390</v>
      </c>
      <c r="B109" s="6">
        <v>7.34</v>
      </c>
      <c r="C109" s="5">
        <v>7.85</v>
      </c>
      <c r="D109" s="6">
        <v>3.96</v>
      </c>
      <c r="E109" s="5">
        <v>1.31</v>
      </c>
      <c r="F109" s="5">
        <v>5.18</v>
      </c>
      <c r="G109" s="5">
        <v>4.4000000000000004</v>
      </c>
      <c r="H109" s="5">
        <v>3.43</v>
      </c>
      <c r="J109" s="5" t="s">
        <v>390</v>
      </c>
      <c r="K109" s="11">
        <f>+ROUND(LN(B109/B110),6)</f>
        <v>1.5100000000000001E-2</v>
      </c>
      <c r="L109" s="11">
        <f>+ROUND(LN(C109/C110),6)</f>
        <v>1.0243E-2</v>
      </c>
      <c r="M109" s="11">
        <f>+ROUND(LN(D109/D110),6)</f>
        <v>-1.005E-2</v>
      </c>
      <c r="N109" s="11">
        <f>+ROUND(LN(E109/E110),6)</f>
        <v>0</v>
      </c>
      <c r="O109" s="11">
        <f>+ROUND(LN(F109/F110),6)</f>
        <v>7.7520000000000002E-3</v>
      </c>
      <c r="P109" s="11">
        <f>+ROUND(LN(G109/G110),6)</f>
        <v>2.7651999999999999E-2</v>
      </c>
      <c r="Q109" s="11">
        <f>+ROUND(LN(H109/H110),6)</f>
        <v>1.1730000000000001E-2</v>
      </c>
      <c r="R109" s="3"/>
      <c r="T109" s="5" t="s">
        <v>108</v>
      </c>
      <c r="U109" s="15">
        <f>+ROUND(B$3*EXP(K109),6)</f>
        <v>7.7156310000000001</v>
      </c>
      <c r="V109" s="15">
        <f>+ROUND(C$3*EXP(L109),6)</f>
        <v>9.4462639999999993</v>
      </c>
      <c r="W109" s="15">
        <f>+ROUND(D$3*EXP(M109),6)</f>
        <v>2.7423009999999999</v>
      </c>
      <c r="X109" s="15">
        <f>+ROUND(E$3*EXP(N109),6)</f>
        <v>1.1499999999999999</v>
      </c>
      <c r="Y109" s="15">
        <f>+ROUND(F$3*EXP(O109),6)</f>
        <v>5.0187549999999996</v>
      </c>
      <c r="Z109" s="15">
        <f>+ROUND(G$3*EXP(P109),6)</f>
        <v>4.4514040000000001</v>
      </c>
      <c r="AA109" s="15">
        <f>+ROUND(H$3*EXP(Q109),6)</f>
        <v>3.460353</v>
      </c>
      <c r="AB109" s="1">
        <v>107</v>
      </c>
      <c r="AC109" s="5" t="s">
        <v>108</v>
      </c>
      <c r="AD109" s="16">
        <f>+ROUND(Pozisyon!$U$4*('Data - Simülasyon- P&amp;L'!U109-'Data - Simülasyon- P&amp;L'!B$3),6)</f>
        <v>16650.864000000001</v>
      </c>
      <c r="AE109" s="16">
        <f>+ROUND(Pozisyon!$U$5*('Data - Simülasyon- P&amp;L'!V109-'Data - Simülasyon- P&amp;L'!C$3),6)</f>
        <v>2406.6</v>
      </c>
      <c r="AF109" s="16">
        <f>+ROUND(Pozisyon!$U$6*('Data - Simülasyon- P&amp;L'!W109-'Data - Simülasyon- P&amp;L'!D$3),6)</f>
        <v>-519.35625000000005</v>
      </c>
      <c r="AG109" s="16">
        <f>+ROUND(Pozisyon!$U$7*('Data - Simülasyon- P&amp;L'!X109-'Data - Simülasyon- P&amp;L'!E$3),6)</f>
        <v>0</v>
      </c>
      <c r="AH109" s="16">
        <f>+ROUND(Pozisyon!$U$8*('Data - Simülasyon- P&amp;L'!Y109-'Data - Simülasyon- P&amp;L'!F$3),6)</f>
        <v>8293.57</v>
      </c>
      <c r="AI109" s="16">
        <f>+ROUND(Pozisyon!$U$9*('Data - Simülasyon- P&amp;L'!Z109-'Data - Simülasyon- P&amp;L'!G$3),6)</f>
        <v>36542.603999999999</v>
      </c>
      <c r="AJ109" s="16">
        <f>+ROUND(Pozisyon!$U$10*('Data - Simülasyon- P&amp;L'!AA109-'Data - Simülasyon- P&amp;L'!H$3),6)</f>
        <v>14163.903</v>
      </c>
      <c r="AK109" s="16">
        <f>+SUM(AD109:AJ109)</f>
        <v>77538.18475</v>
      </c>
      <c r="AL109" s="16">
        <f>+SMALL($AK$3:$AK$254,AB109)</f>
        <v>-4893.1607499999991</v>
      </c>
    </row>
    <row r="110" spans="1:38" ht="15" thickBot="1" x14ac:dyDescent="0.35">
      <c r="A110" s="5" t="s">
        <v>391</v>
      </c>
      <c r="B110" s="6">
        <v>7.23</v>
      </c>
      <c r="C110" s="5">
        <v>7.77</v>
      </c>
      <c r="D110" s="6">
        <v>4</v>
      </c>
      <c r="E110" s="5">
        <v>1.31</v>
      </c>
      <c r="F110" s="5">
        <v>5.14</v>
      </c>
      <c r="G110" s="5">
        <v>4.28</v>
      </c>
      <c r="H110" s="5">
        <v>3.39</v>
      </c>
      <c r="J110" s="5" t="s">
        <v>391</v>
      </c>
      <c r="K110" s="11">
        <f>+ROUND(LN(B110/B111),6)</f>
        <v>-5.5170000000000002E-3</v>
      </c>
      <c r="L110" s="11">
        <f>+ROUND(LN(C110/C111),6)</f>
        <v>1.2880000000000001E-3</v>
      </c>
      <c r="M110" s="11">
        <f>+ROUND(LN(D110/D111),6)</f>
        <v>0</v>
      </c>
      <c r="N110" s="11">
        <f>+ROUND(LN(E110/E111),6)</f>
        <v>1.5384999999999999E-2</v>
      </c>
      <c r="O110" s="11">
        <f>+ROUND(LN(F110/F111),6)</f>
        <v>-1.944E-3</v>
      </c>
      <c r="P110" s="11">
        <f>+ROUND(LN(G110/G111),6)</f>
        <v>1.8867999999999999E-2</v>
      </c>
      <c r="Q110" s="11">
        <f>+ROUND(LN(H110/H111),6)</f>
        <v>-8.8109999999999994E-3</v>
      </c>
      <c r="R110" s="3"/>
      <c r="T110" s="5" t="s">
        <v>109</v>
      </c>
      <c r="U110" s="15">
        <f>+ROUND(B$3*EXP(K110),6)</f>
        <v>7.5581860000000001</v>
      </c>
      <c r="V110" s="15">
        <f>+ROUND(C$3*EXP(L110),6)</f>
        <v>9.3620509999999992</v>
      </c>
      <c r="W110" s="15">
        <f>+ROUND(D$3*EXP(M110),6)</f>
        <v>2.77</v>
      </c>
      <c r="X110" s="15">
        <f>+ROUND(E$3*EXP(N110),6)</f>
        <v>1.1678299999999999</v>
      </c>
      <c r="Y110" s="15">
        <f>+ROUND(F$3*EXP(O110),6)</f>
        <v>4.9703280000000003</v>
      </c>
      <c r="Z110" s="15">
        <f>+ROUND(G$3*EXP(P110),6)</f>
        <v>4.4124739999999996</v>
      </c>
      <c r="AA110" s="15">
        <f>+ROUND(H$3*EXP(Q110),6)</f>
        <v>3.389999</v>
      </c>
      <c r="AB110" s="1">
        <v>108</v>
      </c>
      <c r="AC110" s="5" t="s">
        <v>109</v>
      </c>
      <c r="AD110" s="16">
        <f>+ROUND(Pozisyon!$U$4*('Data - Simülasyon- P&amp;L'!U110-'Data - Simülasyon- P&amp;L'!B$3),6)</f>
        <v>-6021.2160000000003</v>
      </c>
      <c r="AE110" s="16">
        <f>+ROUND(Pozisyon!$U$5*('Data - Simülasyon- P&amp;L'!V110-'Data - Simülasyon- P&amp;L'!C$3),6)</f>
        <v>301.27499999999998</v>
      </c>
      <c r="AF110" s="16">
        <f>+ROUND(Pozisyon!$U$6*('Data - Simülasyon- P&amp;L'!W110-'Data - Simülasyon- P&amp;L'!D$3),6)</f>
        <v>0</v>
      </c>
      <c r="AG110" s="16">
        <f>+ROUND(Pozisyon!$U$7*('Data - Simülasyon- P&amp;L'!X110-'Data - Simülasyon- P&amp;L'!E$3),6)</f>
        <v>6293.99</v>
      </c>
      <c r="AH110" s="16">
        <f>+ROUND(Pozisyon!$U$8*('Data - Simülasyon- P&amp;L'!Y110-'Data - Simülasyon- P&amp;L'!F$3),6)</f>
        <v>-2069.808</v>
      </c>
      <c r="AI110" s="16">
        <f>+ROUND(Pozisyon!$U$9*('Data - Simülasyon- P&amp;L'!Z110-'Data - Simülasyon- P&amp;L'!G$3),6)</f>
        <v>24824.673999999999</v>
      </c>
      <c r="AJ110" s="16">
        <f>+ROUND(Pozisyon!$U$10*('Data - Simülasyon- P&amp;L'!AA110-'Data - Simülasyon- P&amp;L'!H$3),6)</f>
        <v>-10530.351000000001</v>
      </c>
      <c r="AK110" s="16">
        <f>+SUM(AD110:AJ110)</f>
        <v>12798.563999999997</v>
      </c>
      <c r="AL110" s="16">
        <f>+SMALL($AK$3:$AK$254,AB110)</f>
        <v>-2876.8019999999997</v>
      </c>
    </row>
    <row r="111" spans="1:38" ht="15" thickBot="1" x14ac:dyDescent="0.35">
      <c r="A111" s="5" t="s">
        <v>392</v>
      </c>
      <c r="B111" s="6">
        <v>7.27</v>
      </c>
      <c r="C111" s="5">
        <v>7.76</v>
      </c>
      <c r="D111" s="6">
        <v>4</v>
      </c>
      <c r="E111" s="5">
        <v>1.29</v>
      </c>
      <c r="F111" s="5">
        <v>5.15</v>
      </c>
      <c r="G111" s="5">
        <v>4.2</v>
      </c>
      <c r="H111" s="5">
        <v>3.42</v>
      </c>
      <c r="J111" s="5" t="s">
        <v>392</v>
      </c>
      <c r="K111" s="11">
        <f>+ROUND(LN(B111/B112),6)</f>
        <v>1.1065E-2</v>
      </c>
      <c r="L111" s="11">
        <f>+ROUND(LN(C111/C112),6)</f>
        <v>1.1665999999999999E-2</v>
      </c>
      <c r="M111" s="11">
        <f>+ROUND(LN(D111/D112),6)</f>
        <v>0</v>
      </c>
      <c r="N111" s="11">
        <f>+ROUND(LN(E111/E112),6)</f>
        <v>1.5625E-2</v>
      </c>
      <c r="O111" s="11">
        <f>+ROUND(LN(F111/F112),6)</f>
        <v>1.1719E-2</v>
      </c>
      <c r="P111" s="11">
        <f>+ROUND(LN(G111/G112),6)</f>
        <v>7.1679999999999999E-3</v>
      </c>
      <c r="Q111" s="11">
        <f>+ROUND(LN(H111/H112),6)</f>
        <v>1.1764999999999999E-2</v>
      </c>
      <c r="R111" s="3"/>
      <c r="T111" s="5" t="s">
        <v>110</v>
      </c>
      <c r="U111" s="15">
        <f>+ROUND(B$3*EXP(K111),6)</f>
        <v>7.6845610000000004</v>
      </c>
      <c r="V111" s="15">
        <f>+ROUND(C$3*EXP(L111),6)</f>
        <v>9.4597160000000002</v>
      </c>
      <c r="W111" s="15">
        <f>+ROUND(D$3*EXP(M111),6)</f>
        <v>2.77</v>
      </c>
      <c r="X111" s="15">
        <f>+ROUND(E$3*EXP(N111),6)</f>
        <v>1.16811</v>
      </c>
      <c r="Y111" s="15">
        <f>+ROUND(F$3*EXP(O111),6)</f>
        <v>5.0387040000000001</v>
      </c>
      <c r="Z111" s="15">
        <f>+ROUND(G$3*EXP(P111),6)</f>
        <v>4.3611490000000002</v>
      </c>
      <c r="AA111" s="15">
        <f>+ROUND(H$3*EXP(Q111),6)</f>
        <v>3.460474</v>
      </c>
      <c r="AB111" s="1">
        <v>109</v>
      </c>
      <c r="AC111" s="5" t="s">
        <v>110</v>
      </c>
      <c r="AD111" s="16">
        <f>+ROUND(Pozisyon!$U$4*('Data - Simülasyon- P&amp;L'!U111-'Data - Simülasyon- P&amp;L'!B$3),6)</f>
        <v>12176.784</v>
      </c>
      <c r="AE111" s="16">
        <f>+ROUND(Pozisyon!$U$5*('Data - Simülasyon- P&amp;L'!V111-'Data - Simülasyon- P&amp;L'!C$3),6)</f>
        <v>2742.9</v>
      </c>
      <c r="AF111" s="16">
        <f>+ROUND(Pozisyon!$U$6*('Data - Simülasyon- P&amp;L'!W111-'Data - Simülasyon- P&amp;L'!D$3),6)</f>
        <v>0</v>
      </c>
      <c r="AG111" s="16">
        <f>+ROUND(Pozisyon!$U$7*('Data - Simülasyon- P&amp;L'!X111-'Data - Simülasyon- P&amp;L'!E$3),6)</f>
        <v>6392.83</v>
      </c>
      <c r="AH111" s="16">
        <f>+ROUND(Pozisyon!$U$8*('Data - Simülasyon- P&amp;L'!Y111-'Data - Simülasyon- P&amp;L'!F$3),6)</f>
        <v>12562.656000000001</v>
      </c>
      <c r="AI111" s="16">
        <f>+ROUND(Pozisyon!$U$9*('Data - Simülasyon- P&amp;L'!Z111-'Data - Simülasyon- P&amp;L'!G$3),6)</f>
        <v>9375.8490000000002</v>
      </c>
      <c r="AJ111" s="16">
        <f>+ROUND(Pozisyon!$U$10*('Data - Simülasyon- P&amp;L'!AA111-'Data - Simülasyon- P&amp;L'!H$3),6)</f>
        <v>14206.374</v>
      </c>
      <c r="AK111" s="16">
        <f>+SUM(AD111:AJ111)</f>
        <v>57457.392999999996</v>
      </c>
      <c r="AL111" s="16">
        <f>+SMALL($AK$3:$AK$254,AB111)</f>
        <v>-2528.9267499999996</v>
      </c>
    </row>
    <row r="112" spans="1:38" ht="15" thickBot="1" x14ac:dyDescent="0.35">
      <c r="A112" s="5" t="s">
        <v>393</v>
      </c>
      <c r="B112" s="6">
        <v>7.19</v>
      </c>
      <c r="C112" s="5">
        <v>7.67</v>
      </c>
      <c r="D112" s="6">
        <v>4</v>
      </c>
      <c r="E112" s="5">
        <v>1.27</v>
      </c>
      <c r="F112" s="5">
        <v>5.09</v>
      </c>
      <c r="G112" s="5">
        <v>4.17</v>
      </c>
      <c r="H112" s="5">
        <v>3.38</v>
      </c>
      <c r="J112" s="5" t="s">
        <v>393</v>
      </c>
      <c r="K112" s="11">
        <f>+ROUND(LN(B112/B113),6)</f>
        <v>-9.6889999999999997E-3</v>
      </c>
      <c r="L112" s="11">
        <f>+ROUND(LN(C112/C113),6)</f>
        <v>-5.202E-3</v>
      </c>
      <c r="M112" s="11">
        <f>+ROUND(LN(D112/D113),6)</f>
        <v>1.5114000000000001E-2</v>
      </c>
      <c r="N112" s="11">
        <f>+ROUND(LN(E112/E113),6)</f>
        <v>0</v>
      </c>
      <c r="O112" s="11">
        <f>+ROUND(LN(F112/F113),6)</f>
        <v>-1.1719E-2</v>
      </c>
      <c r="P112" s="11">
        <f>+ROUND(LN(G112/G113),6)</f>
        <v>2.4009999999999999E-3</v>
      </c>
      <c r="Q112" s="11">
        <f>+ROUND(LN(H112/H113),6)</f>
        <v>-1.4685E-2</v>
      </c>
      <c r="R112" s="3"/>
      <c r="T112" s="5" t="s">
        <v>111</v>
      </c>
      <c r="U112" s="15">
        <f>+ROUND(B$3*EXP(K112),6)</f>
        <v>7.5267189999999999</v>
      </c>
      <c r="V112" s="15">
        <f>+ROUND(C$3*EXP(L112),6)</f>
        <v>9.3014880000000009</v>
      </c>
      <c r="W112" s="15">
        <f>+ROUND(D$3*EXP(M112),6)</f>
        <v>2.8121839999999998</v>
      </c>
      <c r="X112" s="15">
        <f>+ROUND(E$3*EXP(N112),6)</f>
        <v>1.1499999999999999</v>
      </c>
      <c r="Y112" s="15">
        <f>+ROUND(F$3*EXP(O112),6)</f>
        <v>4.9219799999999996</v>
      </c>
      <c r="Z112" s="15">
        <f>+ROUND(G$3*EXP(P112),6)</f>
        <v>4.3404090000000002</v>
      </c>
      <c r="AA112" s="15">
        <f>+ROUND(H$3*EXP(Q112),6)</f>
        <v>3.3701439999999998</v>
      </c>
      <c r="AB112" s="1">
        <v>110</v>
      </c>
      <c r="AC112" s="5" t="s">
        <v>111</v>
      </c>
      <c r="AD112" s="16">
        <f>+ROUND(Pozisyon!$U$4*('Data - Simülasyon- P&amp;L'!U112-'Data - Simülasyon- P&amp;L'!B$3),6)</f>
        <v>-10552.464</v>
      </c>
      <c r="AE112" s="16">
        <f>+ROUND(Pozisyon!$U$5*('Data - Simülasyon- P&amp;L'!V112-'Data - Simülasyon- P&amp;L'!C$3),6)</f>
        <v>-1212.8</v>
      </c>
      <c r="AF112" s="16">
        <f>+ROUND(Pozisyon!$U$6*('Data - Simülasyon- P&amp;L'!W112-'Data - Simülasyon- P&amp;L'!D$3),6)</f>
        <v>790.95</v>
      </c>
      <c r="AG112" s="16">
        <f>+ROUND(Pozisyon!$U$7*('Data - Simülasyon- P&amp;L'!X112-'Data - Simülasyon- P&amp;L'!E$3),6)</f>
        <v>0</v>
      </c>
      <c r="AH112" s="16">
        <f>+ROUND(Pozisyon!$U$8*('Data - Simülasyon- P&amp;L'!Y112-'Data - Simülasyon- P&amp;L'!F$3),6)</f>
        <v>-12416.28</v>
      </c>
      <c r="AI112" s="16">
        <f>+ROUND(Pozisyon!$U$9*('Data - Simülasyon- P&amp;L'!Z112-'Data - Simülasyon- P&amp;L'!G$3),6)</f>
        <v>3133.1089999999999</v>
      </c>
      <c r="AJ112" s="16">
        <f>+ROUND(Pozisyon!$U$10*('Data - Simülasyon- P&amp;L'!AA112-'Data - Simülasyon- P&amp;L'!H$3),6)</f>
        <v>-17499.455999999998</v>
      </c>
      <c r="AK112" s="16">
        <f>+SUM(AD112:AJ112)</f>
        <v>-37756.940999999992</v>
      </c>
      <c r="AL112" s="16">
        <f>+SMALL($AK$3:$AK$254,AB112)</f>
        <v>-2421.6032500000001</v>
      </c>
    </row>
    <row r="113" spans="1:38" ht="15" thickBot="1" x14ac:dyDescent="0.35">
      <c r="A113" s="5" t="s">
        <v>394</v>
      </c>
      <c r="B113" s="6">
        <v>7.26</v>
      </c>
      <c r="C113" s="5">
        <v>7.71</v>
      </c>
      <c r="D113" s="6">
        <v>3.94</v>
      </c>
      <c r="E113" s="5">
        <v>1.27</v>
      </c>
      <c r="F113" s="5">
        <v>5.15</v>
      </c>
      <c r="G113" s="5">
        <v>4.16</v>
      </c>
      <c r="H113" s="5">
        <v>3.43</v>
      </c>
      <c r="J113" s="5" t="s">
        <v>394</v>
      </c>
      <c r="K113" s="11">
        <f>+ROUND(LN(B113/B114),6)</f>
        <v>2.7935000000000001E-2</v>
      </c>
      <c r="L113" s="11">
        <f>+ROUND(LN(C113/C114),6)</f>
        <v>3.2962999999999999E-2</v>
      </c>
      <c r="M113" s="11">
        <f>+ROUND(LN(D113/D114),6)</f>
        <v>7.6429999999999996E-3</v>
      </c>
      <c r="N113" s="11">
        <f>+ROUND(LN(E113/E114),6)</f>
        <v>4.8397000000000003E-2</v>
      </c>
      <c r="O113" s="11">
        <f>+ROUND(LN(F113/F114),6)</f>
        <v>3.9608999999999998E-2</v>
      </c>
      <c r="P113" s="11">
        <f>+ROUND(LN(G113/G114),6)</f>
        <v>3.4233E-2</v>
      </c>
      <c r="Q113" s="11">
        <f>+ROUND(LN(H113/H114),6)</f>
        <v>3.2594999999999999E-2</v>
      </c>
      <c r="R113" s="3"/>
      <c r="T113" s="5" t="s">
        <v>112</v>
      </c>
      <c r="U113" s="15">
        <f>+ROUND(B$3*EXP(K113),6)</f>
        <v>7.8152990000000004</v>
      </c>
      <c r="V113" s="15">
        <f>+ROUND(C$3*EXP(L113),6)</f>
        <v>9.6633399999999998</v>
      </c>
      <c r="W113" s="15">
        <f>+ROUND(D$3*EXP(M113),6)</f>
        <v>2.7912520000000001</v>
      </c>
      <c r="X113" s="15">
        <f>+ROUND(E$3*EXP(N113),6)</f>
        <v>1.207025</v>
      </c>
      <c r="Y113" s="15">
        <f>+ROUND(F$3*EXP(O113),6)</f>
        <v>5.1812110000000002</v>
      </c>
      <c r="Z113" s="15">
        <f>+ROUND(G$3*EXP(P113),6)</f>
        <v>4.4807949999999996</v>
      </c>
      <c r="AA113" s="15">
        <f>+ROUND(H$3*EXP(Q113),6)</f>
        <v>3.533312</v>
      </c>
      <c r="AB113" s="1">
        <v>111</v>
      </c>
      <c r="AC113" s="5" t="s">
        <v>112</v>
      </c>
      <c r="AD113" s="16">
        <f>+ROUND(Pozisyon!$U$4*('Data - Simülasyon- P&amp;L'!U113-'Data - Simülasyon- P&amp;L'!B$3),6)</f>
        <v>31003.056</v>
      </c>
      <c r="AE113" s="16">
        <f>+ROUND(Pozisyon!$U$5*('Data - Simülasyon- P&amp;L'!V113-'Data - Simülasyon- P&amp;L'!C$3),6)</f>
        <v>7833.5</v>
      </c>
      <c r="AF113" s="16">
        <f>+ROUND(Pozisyon!$U$6*('Data - Simülasyon- P&amp;L'!W113-'Data - Simülasyon- P&amp;L'!D$3),6)</f>
        <v>398.47500000000002</v>
      </c>
      <c r="AG113" s="16">
        <f>+ROUND(Pozisyon!$U$7*('Data - Simülasyon- P&amp;L'!X113-'Data - Simülasyon- P&amp;L'!E$3),6)</f>
        <v>20129.825000000001</v>
      </c>
      <c r="AH113" s="16">
        <f>+ROUND(Pozisyon!$U$8*('Data - Simülasyon- P&amp;L'!Y113-'Data - Simülasyon- P&amp;L'!F$3),6)</f>
        <v>43059.154000000002</v>
      </c>
      <c r="AI113" s="16">
        <f>+ROUND(Pozisyon!$U$9*('Data - Simülasyon- P&amp;L'!Z113-'Data - Simülasyon- P&amp;L'!G$3),6)</f>
        <v>45389.294999999998</v>
      </c>
      <c r="AJ113" s="16">
        <f>+ROUND(Pozisyon!$U$10*('Data - Simülasyon- P&amp;L'!AA113-'Data - Simülasyon- P&amp;L'!H$3),6)</f>
        <v>39772.512000000002</v>
      </c>
      <c r="AK113" s="16">
        <f>+SUM(AD113:AJ113)</f>
        <v>187585.81699999998</v>
      </c>
      <c r="AL113" s="16">
        <f>+SMALL($AK$3:$AK$254,AB113)</f>
        <v>-1459.0932499999994</v>
      </c>
    </row>
    <row r="114" spans="1:38" ht="15" thickBot="1" x14ac:dyDescent="0.35">
      <c r="A114" s="5" t="s">
        <v>395</v>
      </c>
      <c r="B114" s="6">
        <v>7.06</v>
      </c>
      <c r="C114" s="5">
        <v>7.46</v>
      </c>
      <c r="D114" s="6">
        <v>3.91</v>
      </c>
      <c r="E114" s="5">
        <v>1.21</v>
      </c>
      <c r="F114" s="5">
        <v>4.95</v>
      </c>
      <c r="G114" s="5">
        <v>4.0199999999999996</v>
      </c>
      <c r="H114" s="5">
        <v>3.32</v>
      </c>
      <c r="J114" s="5" t="s">
        <v>395</v>
      </c>
      <c r="K114" s="11">
        <f>+ROUND(LN(B114/B115),6)</f>
        <v>4.2579999999999996E-3</v>
      </c>
      <c r="L114" s="11">
        <f>+ROUND(LN(C114/C115),6)</f>
        <v>-1.3316E-2</v>
      </c>
      <c r="M114" s="11">
        <f>+ROUND(LN(D114/D115),6)</f>
        <v>-5.1019999999999998E-3</v>
      </c>
      <c r="N114" s="11">
        <f>+ROUND(LN(E114/E115),6)</f>
        <v>8.2990000000000008E-3</v>
      </c>
      <c r="O114" s="11">
        <f>+ROUND(LN(F114/F115),6)</f>
        <v>6.0790000000000002E-3</v>
      </c>
      <c r="P114" s="11">
        <f>+ROUND(LN(G114/G115),6)</f>
        <v>-1.9705E-2</v>
      </c>
      <c r="Q114" s="11">
        <f>+ROUND(LN(H114/H115),6)</f>
        <v>-1.4947999999999999E-2</v>
      </c>
      <c r="R114" s="3"/>
      <c r="T114" s="5" t="s">
        <v>113</v>
      </c>
      <c r="U114" s="15">
        <f>+ROUND(B$3*EXP(K114),6)</f>
        <v>7.6324300000000003</v>
      </c>
      <c r="V114" s="15">
        <f>+ROUND(C$3*EXP(L114),6)</f>
        <v>9.2263210000000004</v>
      </c>
      <c r="W114" s="15">
        <f>+ROUND(D$3*EXP(M114),6)</f>
        <v>2.755903</v>
      </c>
      <c r="X114" s="15">
        <f>+ROUND(E$3*EXP(N114),6)</f>
        <v>1.1595839999999999</v>
      </c>
      <c r="Y114" s="15">
        <f>+ROUND(F$3*EXP(O114),6)</f>
        <v>5.0103660000000003</v>
      </c>
      <c r="Z114" s="15">
        <f>+ROUND(G$3*EXP(P114),6)</f>
        <v>4.2455119999999997</v>
      </c>
      <c r="AA114" s="15">
        <f>+ROUND(H$3*EXP(Q114),6)</f>
        <v>3.3692579999999999</v>
      </c>
      <c r="AB114" s="1">
        <v>112</v>
      </c>
      <c r="AC114" s="5" t="s">
        <v>113</v>
      </c>
      <c r="AD114" s="16">
        <f>+ROUND(Pozisyon!$U$4*('Data - Simülasyon- P&amp;L'!U114-'Data - Simülasyon- P&amp;L'!B$3),6)</f>
        <v>4669.92</v>
      </c>
      <c r="AE114" s="16">
        <f>+ROUND(Pozisyon!$U$5*('Data - Simülasyon- P&amp;L'!V114-'Data - Simülasyon- P&amp;L'!C$3),6)</f>
        <v>-3091.9749999999999</v>
      </c>
      <c r="AF114" s="16">
        <f>+ROUND(Pozisyon!$U$6*('Data - Simülasyon- P&amp;L'!W114-'Data - Simülasyon- P&amp;L'!D$3),6)</f>
        <v>-264.31875000000002</v>
      </c>
      <c r="AG114" s="16">
        <f>+ROUND(Pozisyon!$U$7*('Data - Simülasyon- P&amp;L'!X114-'Data - Simülasyon- P&amp;L'!E$3),6)</f>
        <v>3383.152</v>
      </c>
      <c r="AH114" s="16">
        <f>+ROUND(Pozisyon!$U$8*('Data - Simülasyon- P&amp;L'!Y114-'Data - Simülasyon- P&amp;L'!F$3),6)</f>
        <v>6498.3239999999996</v>
      </c>
      <c r="AI114" s="16">
        <f>+ROUND(Pozisyon!$U$9*('Data - Simülasyon- P&amp;L'!Z114-'Data - Simülasyon- P&amp;L'!G$3),6)</f>
        <v>-25430.887999999999</v>
      </c>
      <c r="AJ114" s="16">
        <f>+ROUND(Pozisyon!$U$10*('Data - Simülasyon- P&amp;L'!AA114-'Data - Simülasyon- P&amp;L'!H$3),6)</f>
        <v>-17810.441999999999</v>
      </c>
      <c r="AK114" s="16">
        <f>+SUM(AD114:AJ114)</f>
        <v>-32046.227749999998</v>
      </c>
      <c r="AL114" s="16">
        <f>+SMALL($AK$3:$AK$254,AB114)</f>
        <v>-241.34150000000045</v>
      </c>
    </row>
    <row r="115" spans="1:38" ht="15" thickBot="1" x14ac:dyDescent="0.35">
      <c r="A115" s="5" t="s">
        <v>396</v>
      </c>
      <c r="B115" s="6">
        <v>7.03</v>
      </c>
      <c r="C115" s="5">
        <v>7.56</v>
      </c>
      <c r="D115" s="6">
        <v>3.93</v>
      </c>
      <c r="E115" s="5">
        <v>1.2</v>
      </c>
      <c r="F115" s="5">
        <v>4.92</v>
      </c>
      <c r="G115" s="5">
        <v>4.0999999999999996</v>
      </c>
      <c r="H115" s="5">
        <v>3.37</v>
      </c>
      <c r="J115" s="5" t="s">
        <v>396</v>
      </c>
      <c r="K115" s="11">
        <f>+ROUND(LN(B115/B116),6)</f>
        <v>-4.4513999999999998E-2</v>
      </c>
      <c r="L115" s="11">
        <f>+ROUND(LN(C115/C116),6)</f>
        <v>-8.6128999999999997E-2</v>
      </c>
      <c r="M115" s="11">
        <f>+ROUND(LN(D115/D116),6)</f>
        <v>-6.6445000000000004E-2</v>
      </c>
      <c r="N115" s="11">
        <f>+ROUND(LN(E115/E116),6)</f>
        <v>-4.0821999999999997E-2</v>
      </c>
      <c r="O115" s="11">
        <f>+ROUND(LN(F115/F116),6)</f>
        <v>-2.4098000000000001E-2</v>
      </c>
      <c r="P115" s="11">
        <f>+ROUND(LN(G115/G116),6)</f>
        <v>-4.53E-2</v>
      </c>
      <c r="Q115" s="11">
        <f>+ROUND(LN(H115/H116),6)</f>
        <v>-6.8794999999999995E-2</v>
      </c>
      <c r="R115" s="3"/>
      <c r="T115" s="5" t="s">
        <v>114</v>
      </c>
      <c r="U115" s="15">
        <f>+ROUND(B$3*EXP(K115),6)</f>
        <v>7.2691129999999999</v>
      </c>
      <c r="V115" s="15">
        <f>+ROUND(C$3*EXP(L115),6)</f>
        <v>8.5783989999999992</v>
      </c>
      <c r="W115" s="15">
        <f>+ROUND(D$3*EXP(M115),6)</f>
        <v>2.5919289999999999</v>
      </c>
      <c r="X115" s="15">
        <f>+ROUND(E$3*EXP(N115),6)</f>
        <v>1.1040000000000001</v>
      </c>
      <c r="Y115" s="15">
        <f>+ROUND(F$3*EXP(O115),6)</f>
        <v>4.8614259999999998</v>
      </c>
      <c r="Z115" s="15">
        <f>+ROUND(G$3*EXP(P115),6)</f>
        <v>4.1382269999999997</v>
      </c>
      <c r="AA115" s="15">
        <f>+ROUND(H$3*EXP(Q115),6)</f>
        <v>3.1926320000000001</v>
      </c>
      <c r="AB115" s="1">
        <v>113</v>
      </c>
      <c r="AC115" s="5" t="s">
        <v>114</v>
      </c>
      <c r="AD115" s="16">
        <f>+ROUND(Pozisyon!$U$4*('Data - Simülasyon- P&amp;L'!U115-'Data - Simülasyon- P&amp;L'!B$3),6)</f>
        <v>-47647.728000000003</v>
      </c>
      <c r="AE115" s="16">
        <f>+ROUND(Pozisyon!$U$5*('Data - Simülasyon- P&amp;L'!V115-'Data - Simülasyon- P&amp;L'!C$3),6)</f>
        <v>-19290.025000000001</v>
      </c>
      <c r="AF115" s="16">
        <f>+ROUND(Pozisyon!$U$6*('Data - Simülasyon- P&amp;L'!W115-'Data - Simülasyon- P&amp;L'!D$3),6)</f>
        <v>-3338.8312500000002</v>
      </c>
      <c r="AG115" s="16">
        <f>+ROUND(Pozisyon!$U$7*('Data - Simülasyon- P&amp;L'!X115-'Data - Simülasyon- P&amp;L'!E$3),6)</f>
        <v>-16238</v>
      </c>
      <c r="AH115" s="16">
        <f>+ROUND(Pozisyon!$U$8*('Data - Simülasyon- P&amp;L'!Y115-'Data - Simülasyon- P&amp;L'!F$3),6)</f>
        <v>-25374.835999999999</v>
      </c>
      <c r="AI115" s="16">
        <f>+ROUND(Pozisyon!$U$9*('Data - Simülasyon- P&amp;L'!Z115-'Data - Simülasyon- P&amp;L'!G$3),6)</f>
        <v>-57723.673000000003</v>
      </c>
      <c r="AJ115" s="16">
        <f>+ROUND(Pozisyon!$U$10*('Data - Simülasyon- P&amp;L'!AA115-'Data - Simülasyon- P&amp;L'!H$3),6)</f>
        <v>-79806.168000000005</v>
      </c>
      <c r="AK115" s="16">
        <f>+SUM(AD115:AJ115)</f>
        <v>-249419.26125000001</v>
      </c>
      <c r="AL115" s="16">
        <f>+SMALL($AK$3:$AK$254,AB115)</f>
        <v>0</v>
      </c>
    </row>
    <row r="116" spans="1:38" ht="15" thickBot="1" x14ac:dyDescent="0.35">
      <c r="A116" s="5" t="s">
        <v>397</v>
      </c>
      <c r="B116" s="6">
        <v>7.35</v>
      </c>
      <c r="C116" s="5">
        <v>8.24</v>
      </c>
      <c r="D116" s="6">
        <v>4.2</v>
      </c>
      <c r="E116" s="5">
        <v>1.25</v>
      </c>
      <c r="F116" s="5">
        <v>5.04</v>
      </c>
      <c r="G116" s="5">
        <v>4.29</v>
      </c>
      <c r="H116" s="5">
        <v>3.61</v>
      </c>
      <c r="J116" s="5" t="s">
        <v>397</v>
      </c>
      <c r="K116" s="11">
        <f>+ROUND(LN(B116/B117),6)</f>
        <v>-3.3447999999999999E-2</v>
      </c>
      <c r="L116" s="11">
        <f>+ROUND(LN(C116/C117),6)</f>
        <v>-4.2762000000000001E-2</v>
      </c>
      <c r="M116" s="11">
        <f>+ROUND(LN(D116/D117),6)</f>
        <v>2.6540000000000001E-2</v>
      </c>
      <c r="N116" s="11">
        <f>+ROUND(LN(E116/E117),6)</f>
        <v>-3.1498999999999999E-2</v>
      </c>
      <c r="O116" s="11">
        <f>+ROUND(LN(F116/F117),6)</f>
        <v>-2.3529999999999999E-2</v>
      </c>
      <c r="P116" s="11">
        <f>+ROUND(LN(G116/G117),6)</f>
        <v>-4.3336E-2</v>
      </c>
      <c r="Q116" s="11">
        <f>+ROUND(LN(H116/H117),6)</f>
        <v>-3.5378E-2</v>
      </c>
      <c r="R116" s="3"/>
      <c r="T116" s="5" t="s">
        <v>115</v>
      </c>
      <c r="U116" s="15">
        <f>+ROUND(B$3*EXP(K116),6)</f>
        <v>7.35</v>
      </c>
      <c r="V116" s="15">
        <f>+ROUND(C$3*EXP(L116),6)</f>
        <v>8.9586030000000001</v>
      </c>
      <c r="W116" s="15">
        <f>+ROUND(D$3*EXP(M116),6)</f>
        <v>2.8445</v>
      </c>
      <c r="X116" s="15">
        <f>+ROUND(E$3*EXP(N116),6)</f>
        <v>1.114341</v>
      </c>
      <c r="Y116" s="15">
        <f>+ROUND(F$3*EXP(O116),6)</f>
        <v>4.8641880000000004</v>
      </c>
      <c r="Z116" s="15">
        <f>+ROUND(G$3*EXP(P116),6)</f>
        <v>4.146363</v>
      </c>
      <c r="AA116" s="15">
        <f>+ROUND(H$3*EXP(Q116),6)</f>
        <v>3.3011219999999999</v>
      </c>
      <c r="AB116" s="1">
        <v>114</v>
      </c>
      <c r="AC116" s="5" t="s">
        <v>115</v>
      </c>
      <c r="AD116" s="16">
        <f>+ROUND(Pozisyon!$U$4*('Data - Simülasyon- P&amp;L'!U116-'Data - Simülasyon- P&amp;L'!B$3),6)</f>
        <v>-36000</v>
      </c>
      <c r="AE116" s="16">
        <f>+ROUND(Pozisyon!$U$5*('Data - Simülasyon- P&amp;L'!V116-'Data - Simülasyon- P&amp;L'!C$3),6)</f>
        <v>-9784.9249999999993</v>
      </c>
      <c r="AF116" s="16">
        <f>+ROUND(Pozisyon!$U$6*('Data - Simülasyon- P&amp;L'!W116-'Data - Simülasyon- P&amp;L'!D$3),6)</f>
        <v>1396.875</v>
      </c>
      <c r="AG116" s="16">
        <f>+ROUND(Pozisyon!$U$7*('Data - Simülasyon- P&amp;L'!X116-'Data - Simülasyon- P&amp;L'!E$3),6)</f>
        <v>-12587.627</v>
      </c>
      <c r="AH116" s="16">
        <f>+ROUND(Pozisyon!$U$8*('Data - Simülasyon- P&amp;L'!Y116-'Data - Simülasyon- P&amp;L'!F$3),6)</f>
        <v>-24783.768</v>
      </c>
      <c r="AI116" s="16">
        <f>+ROUND(Pozisyon!$U$9*('Data - Simülasyon- P&amp;L'!Z116-'Data - Simülasyon- P&amp;L'!G$3),6)</f>
        <v>-55274.737000000001</v>
      </c>
      <c r="AJ116" s="16">
        <f>+ROUND(Pozisyon!$U$10*('Data - Simülasyon- P&amp;L'!AA116-'Data - Simülasyon- P&amp;L'!H$3),6)</f>
        <v>-41726.178</v>
      </c>
      <c r="AK116" s="16">
        <f>+SUM(AD116:AJ116)</f>
        <v>-178760.36</v>
      </c>
      <c r="AL116" s="16">
        <f>+SMALL($AK$3:$AK$254,AB116)</f>
        <v>0</v>
      </c>
    </row>
    <row r="117" spans="1:38" ht="15" thickBot="1" x14ac:dyDescent="0.35">
      <c r="A117" s="5" t="s">
        <v>398</v>
      </c>
      <c r="B117" s="6">
        <v>7.6</v>
      </c>
      <c r="C117" s="5">
        <v>8.6</v>
      </c>
      <c r="D117" s="6">
        <v>4.09</v>
      </c>
      <c r="E117" s="5">
        <v>1.29</v>
      </c>
      <c r="F117" s="5">
        <v>5.16</v>
      </c>
      <c r="G117" s="5">
        <v>4.4800000000000004</v>
      </c>
      <c r="H117" s="5">
        <v>3.74</v>
      </c>
      <c r="J117" s="5" t="s">
        <v>398</v>
      </c>
      <c r="K117" s="11">
        <f>+ROUND(LN(B117/B118),6)</f>
        <v>6.6010000000000001E-3</v>
      </c>
      <c r="L117" s="11">
        <f>+ROUND(LN(C117/C118),6)</f>
        <v>3.6712000000000002E-2</v>
      </c>
      <c r="M117" s="11">
        <f>+ROUND(LN(D117/D118),6)</f>
        <v>-1.4563E-2</v>
      </c>
      <c r="N117" s="11">
        <f>+ROUND(LN(E117/E118),6)</f>
        <v>7.7819999999999999E-3</v>
      </c>
      <c r="O117" s="11">
        <f>+ROUND(LN(F117/F118),6)</f>
        <v>-1.936E-3</v>
      </c>
      <c r="P117" s="11">
        <f>+ROUND(LN(G117/G118),6)</f>
        <v>1.3483E-2</v>
      </c>
      <c r="Q117" s="11">
        <f>+ROUND(LN(H117/H118),6)</f>
        <v>0</v>
      </c>
      <c r="R117" s="3"/>
      <c r="T117" s="5" t="s">
        <v>116</v>
      </c>
      <c r="U117" s="15">
        <f>+ROUND(B$3*EXP(K117),6)</f>
        <v>7.650334</v>
      </c>
      <c r="V117" s="15">
        <f>+ROUND(C$3*EXP(L117),6)</f>
        <v>9.6996359999999999</v>
      </c>
      <c r="W117" s="15">
        <f>+ROUND(D$3*EXP(M117),6)</f>
        <v>2.7299530000000001</v>
      </c>
      <c r="X117" s="15">
        <f>+ROUND(E$3*EXP(N117),6)</f>
        <v>1.158984</v>
      </c>
      <c r="Y117" s="15">
        <f>+ROUND(F$3*EXP(O117),6)</f>
        <v>4.9703679999999997</v>
      </c>
      <c r="Z117" s="15">
        <f>+ROUND(G$3*EXP(P117),6)</f>
        <v>4.3887770000000002</v>
      </c>
      <c r="AA117" s="15">
        <f>+ROUND(H$3*EXP(Q117),6)</f>
        <v>3.42</v>
      </c>
      <c r="AB117" s="1">
        <v>115</v>
      </c>
      <c r="AC117" s="5" t="s">
        <v>116</v>
      </c>
      <c r="AD117" s="16">
        <f>+ROUND(Pozisyon!$U$4*('Data - Simülasyon- P&amp;L'!U117-'Data - Simülasyon- P&amp;L'!B$3),6)</f>
        <v>7248.0959999999995</v>
      </c>
      <c r="AE117" s="16">
        <f>+ROUND(Pozisyon!$U$5*('Data - Simülasyon- P&amp;L'!V117-'Data - Simülasyon- P&amp;L'!C$3),6)</f>
        <v>8740.9</v>
      </c>
      <c r="AF117" s="16">
        <f>+ROUND(Pozisyon!$U$6*('Data - Simülasyon- P&amp;L'!W117-'Data - Simülasyon- P&amp;L'!D$3),6)</f>
        <v>-750.88125000000002</v>
      </c>
      <c r="AG117" s="16">
        <f>+ROUND(Pozisyon!$U$7*('Data - Simülasyon- P&amp;L'!X117-'Data - Simülasyon- P&amp;L'!E$3),6)</f>
        <v>3171.3519999999999</v>
      </c>
      <c r="AH117" s="16">
        <f>+ROUND(Pozisyon!$U$8*('Data - Simülasyon- P&amp;L'!Y117-'Data - Simülasyon- P&amp;L'!F$3),6)</f>
        <v>-2061.248</v>
      </c>
      <c r="AI117" s="16">
        <f>+ROUND(Pozisyon!$U$9*('Data - Simülasyon- P&amp;L'!Z117-'Data - Simülasyon- P&amp;L'!G$3),6)</f>
        <v>17691.877</v>
      </c>
      <c r="AJ117" s="16">
        <f>+ROUND(Pozisyon!$U$10*('Data - Simülasyon- P&amp;L'!AA117-'Data - Simülasyon- P&amp;L'!H$3),6)</f>
        <v>0</v>
      </c>
      <c r="AK117" s="16">
        <f>+SUM(AD117:AJ117)</f>
        <v>34040.09575</v>
      </c>
      <c r="AL117" s="16">
        <f>+SMALL($AK$3:$AK$254,AB117)</f>
        <v>0</v>
      </c>
    </row>
    <row r="118" spans="1:38" ht="15" thickBot="1" x14ac:dyDescent="0.35">
      <c r="A118" s="5" t="s">
        <v>399</v>
      </c>
      <c r="B118" s="6">
        <v>7.55</v>
      </c>
      <c r="C118" s="5">
        <v>8.2899999999999991</v>
      </c>
      <c r="D118" s="6">
        <v>4.1500000000000004</v>
      </c>
      <c r="E118" s="5">
        <v>1.28</v>
      </c>
      <c r="F118" s="5">
        <v>5.17</v>
      </c>
      <c r="G118" s="5">
        <v>4.42</v>
      </c>
      <c r="H118" s="5">
        <v>3.74</v>
      </c>
      <c r="J118" s="5" t="s">
        <v>399</v>
      </c>
      <c r="K118" s="11">
        <f>+ROUND(LN(B118/B119),6)</f>
        <v>-0.105493</v>
      </c>
      <c r="L118" s="11">
        <f>+ROUND(LN(C118/C119),6)</f>
        <v>-0.112812</v>
      </c>
      <c r="M118" s="11">
        <f>+ROUND(LN(D118/D119),6)</f>
        <v>9.6849999999999992E-3</v>
      </c>
      <c r="N118" s="11">
        <f>+ROUND(LN(E118/E119),6)</f>
        <v>-0.138402</v>
      </c>
      <c r="O118" s="11">
        <f>+ROUND(LN(F118/F119),6)</f>
        <v>-0.143874</v>
      </c>
      <c r="P118" s="11">
        <f>+ROUND(LN(G118/G119),6)</f>
        <v>-0.11728</v>
      </c>
      <c r="Q118" s="11">
        <f>+ROUND(LN(H118/H119),6)</f>
        <v>-0.106429</v>
      </c>
      <c r="R118" s="3"/>
      <c r="T118" s="5" t="s">
        <v>117</v>
      </c>
      <c r="U118" s="15">
        <f>+ROUND(B$3*EXP(K118),6)</f>
        <v>6.8390940000000002</v>
      </c>
      <c r="V118" s="15">
        <f>+ROUND(C$3*EXP(L118),6)</f>
        <v>8.3525290000000005</v>
      </c>
      <c r="W118" s="15">
        <f>+ROUND(D$3*EXP(M118),6)</f>
        <v>2.7969580000000001</v>
      </c>
      <c r="X118" s="15">
        <f>+ROUND(E$3*EXP(N118),6)</f>
        <v>1.0013609999999999</v>
      </c>
      <c r="Y118" s="15">
        <f>+ROUND(F$3*EXP(O118),6)</f>
        <v>4.3126639999999998</v>
      </c>
      <c r="Z118" s="15">
        <f>+ROUND(G$3*EXP(P118),6)</f>
        <v>3.8508260000000001</v>
      </c>
      <c r="AA118" s="15">
        <f>+ROUND(H$3*EXP(Q118),6)</f>
        <v>3.074713</v>
      </c>
      <c r="AB118" s="1">
        <v>116</v>
      </c>
      <c r="AC118" s="5" t="s">
        <v>117</v>
      </c>
      <c r="AD118" s="16">
        <f>+ROUND(Pozisyon!$U$4*('Data - Simülasyon- P&amp;L'!U118-'Data - Simülasyon- P&amp;L'!B$3),6)</f>
        <v>-109570.46400000001</v>
      </c>
      <c r="AE118" s="16">
        <f>+ROUND(Pozisyon!$U$5*('Data - Simülasyon- P&amp;L'!V118-'Data - Simülasyon- P&amp;L'!C$3),6)</f>
        <v>-24936.775000000001</v>
      </c>
      <c r="AF118" s="16">
        <f>+ROUND(Pozisyon!$U$6*('Data - Simülasyon- P&amp;L'!W118-'Data - Simülasyon- P&amp;L'!D$3),6)</f>
        <v>505.46249999999998</v>
      </c>
      <c r="AG118" s="16">
        <f>+ROUND(Pozisyon!$U$7*('Data - Simülasyon- P&amp;L'!X118-'Data - Simülasyon- P&amp;L'!E$3),6)</f>
        <v>-52469.567000000003</v>
      </c>
      <c r="AH118" s="16">
        <f>+ROUND(Pozisyon!$U$8*('Data - Simülasyon- P&amp;L'!Y118-'Data - Simülasyon- P&amp;L'!F$3),6)</f>
        <v>-142809.90400000001</v>
      </c>
      <c r="AI118" s="16">
        <f>+ROUND(Pozisyon!$U$9*('Data - Simülasyon- P&amp;L'!Z118-'Data - Simülasyon- P&amp;L'!G$3),6)</f>
        <v>-144231.37400000001</v>
      </c>
      <c r="AJ118" s="16">
        <f>+ROUND(Pozisyon!$U$10*('Data - Simülasyon- P&amp;L'!AA118-'Data - Simülasyon- P&amp;L'!H$3),6)</f>
        <v>-121195.73699999999</v>
      </c>
      <c r="AK118" s="16">
        <f>+SUM(AD118:AJ118)</f>
        <v>-594708.35850000009</v>
      </c>
      <c r="AL118" s="16">
        <f>+SMALL($AK$3:$AK$254,AB118)</f>
        <v>0</v>
      </c>
    </row>
    <row r="119" spans="1:38" ht="15" thickBot="1" x14ac:dyDescent="0.35">
      <c r="A119" s="5" t="s">
        <v>400</v>
      </c>
      <c r="B119" s="6">
        <v>8.39</v>
      </c>
      <c r="C119" s="5">
        <v>9.2799999999999994</v>
      </c>
      <c r="D119" s="6">
        <v>4.1100000000000003</v>
      </c>
      <c r="E119" s="5">
        <v>1.47</v>
      </c>
      <c r="F119" s="5">
        <v>5.97</v>
      </c>
      <c r="G119" s="5">
        <v>4.97</v>
      </c>
      <c r="H119" s="5">
        <v>4.16</v>
      </c>
      <c r="J119" s="5" t="s">
        <v>400</v>
      </c>
      <c r="K119" s="11">
        <f>+ROUND(LN(B119/B120),6)</f>
        <v>5.9769999999999997E-3</v>
      </c>
      <c r="L119" s="11">
        <f>+ROUND(LN(C119/C120),6)</f>
        <v>-3.228E-3</v>
      </c>
      <c r="M119" s="11">
        <f>+ROUND(LN(D119/D120),6)</f>
        <v>-1.9278E-2</v>
      </c>
      <c r="N119" s="11">
        <f>+ROUND(LN(E119/E120),6)</f>
        <v>0</v>
      </c>
      <c r="O119" s="11">
        <f>+ROUND(LN(F119/F120),6)</f>
        <v>-6.6779999999999999E-3</v>
      </c>
      <c r="P119" s="11">
        <f>+ROUND(LN(G119/G120),6)</f>
        <v>2.0140000000000002E-3</v>
      </c>
      <c r="Q119" s="11">
        <f>+ROUND(LN(H119/H120),6)</f>
        <v>-2.4009999999999999E-3</v>
      </c>
      <c r="R119" s="3"/>
      <c r="T119" s="5" t="s">
        <v>118</v>
      </c>
      <c r="U119" s="15">
        <f>+ROUND(B$3*EXP(K119),6)</f>
        <v>7.6455609999999998</v>
      </c>
      <c r="V119" s="15">
        <f>+ROUND(C$3*EXP(L119),6)</f>
        <v>9.3198670000000003</v>
      </c>
      <c r="W119" s="15">
        <f>+ROUND(D$3*EXP(M119),6)</f>
        <v>2.7171110000000001</v>
      </c>
      <c r="X119" s="15">
        <f>+ROUND(E$3*EXP(N119),6)</f>
        <v>1.1499999999999999</v>
      </c>
      <c r="Y119" s="15">
        <f>+ROUND(F$3*EXP(O119),6)</f>
        <v>4.9468540000000001</v>
      </c>
      <c r="Z119" s="15">
        <f>+ROUND(G$3*EXP(P119),6)</f>
        <v>4.3387289999999998</v>
      </c>
      <c r="AA119" s="15">
        <f>+ROUND(H$3*EXP(Q119),6)</f>
        <v>3.4117980000000001</v>
      </c>
      <c r="AB119" s="1">
        <v>117</v>
      </c>
      <c r="AC119" s="5" t="s">
        <v>118</v>
      </c>
      <c r="AD119" s="16">
        <f>+ROUND(Pozisyon!$U$4*('Data - Simülasyon- P&amp;L'!U119-'Data - Simülasyon- P&amp;L'!B$3),6)</f>
        <v>6560.7839999999997</v>
      </c>
      <c r="AE119" s="16">
        <f>+ROUND(Pozisyon!$U$5*('Data - Simülasyon- P&amp;L'!V119-'Data - Simülasyon- P&amp;L'!C$3),6)</f>
        <v>-753.32500000000005</v>
      </c>
      <c r="AF119" s="16">
        <f>+ROUND(Pozisyon!$U$6*('Data - Simülasyon- P&amp;L'!W119-'Data - Simülasyon- P&amp;L'!D$3),6)</f>
        <v>-991.66875000000005</v>
      </c>
      <c r="AG119" s="16">
        <f>+ROUND(Pozisyon!$U$7*('Data - Simülasyon- P&amp;L'!X119-'Data - Simülasyon- P&amp;L'!E$3),6)</f>
        <v>0</v>
      </c>
      <c r="AH119" s="16">
        <f>+ROUND(Pozisyon!$U$8*('Data - Simülasyon- P&amp;L'!Y119-'Data - Simülasyon- P&amp;L'!F$3),6)</f>
        <v>-7093.2439999999997</v>
      </c>
      <c r="AI119" s="16">
        <f>+ROUND(Pozisyon!$U$9*('Data - Simülasyon- P&amp;L'!Z119-'Data - Simülasyon- P&amp;L'!G$3),6)</f>
        <v>2627.4290000000001</v>
      </c>
      <c r="AJ119" s="16">
        <f>+ROUND(Pozisyon!$U$10*('Data - Simülasyon- P&amp;L'!AA119-'Data - Simülasyon- P&amp;L'!H$3),6)</f>
        <v>-2878.902</v>
      </c>
      <c r="AK119" s="16">
        <f>+SUM(AD119:AJ119)</f>
        <v>-2528.9267499999996</v>
      </c>
      <c r="AL119" s="16">
        <f>+SMALL($AK$3:$AK$254,AB119)</f>
        <v>203.61524999999983</v>
      </c>
    </row>
    <row r="120" spans="1:38" ht="15" thickBot="1" x14ac:dyDescent="0.35">
      <c r="A120" s="5" t="s">
        <v>401</v>
      </c>
      <c r="B120" s="6">
        <v>8.34</v>
      </c>
      <c r="C120" s="5">
        <v>9.31</v>
      </c>
      <c r="D120" s="6">
        <v>4.1900000000000004</v>
      </c>
      <c r="E120" s="5">
        <v>1.47</v>
      </c>
      <c r="F120" s="5">
        <v>6.01</v>
      </c>
      <c r="G120" s="5">
        <v>4.96</v>
      </c>
      <c r="H120" s="5">
        <v>4.17</v>
      </c>
      <c r="J120" s="5" t="s">
        <v>401</v>
      </c>
      <c r="K120" s="11">
        <f>+ROUND(LN(B120/B121),6)</f>
        <v>1.5709999999999998E-2</v>
      </c>
      <c r="L120" s="11">
        <f>+ROUND(LN(C120/C121),6)</f>
        <v>1.1886000000000001E-2</v>
      </c>
      <c r="M120" s="11">
        <f>+ROUND(LN(D120/D121),6)</f>
        <v>1.9278E-2</v>
      </c>
      <c r="N120" s="11">
        <f>+ROUND(LN(E120/E121),6)</f>
        <v>1.3698999999999999E-2</v>
      </c>
      <c r="O120" s="11">
        <f>+ROUND(LN(F120/F121),6)</f>
        <v>-4.9789999999999999E-3</v>
      </c>
      <c r="P120" s="11">
        <f>+ROUND(LN(G120/G121),6)</f>
        <v>4.0400000000000002E-3</v>
      </c>
      <c r="Q120" s="11">
        <f>+ROUND(LN(H120/H121),6)</f>
        <v>9.639E-3</v>
      </c>
      <c r="R120" s="3"/>
      <c r="T120" s="5" t="s">
        <v>119</v>
      </c>
      <c r="U120" s="15">
        <f>+ROUND(B$3*EXP(K120),6)</f>
        <v>7.7203390000000001</v>
      </c>
      <c r="V120" s="15">
        <f>+ROUND(C$3*EXP(L120),6)</f>
        <v>9.4617970000000007</v>
      </c>
      <c r="W120" s="15">
        <f>+ROUND(D$3*EXP(M120),6)</f>
        <v>2.8239179999999999</v>
      </c>
      <c r="X120" s="15">
        <f>+ROUND(E$3*EXP(N120),6)</f>
        <v>1.165862</v>
      </c>
      <c r="Y120" s="15">
        <f>+ROUND(F$3*EXP(O120),6)</f>
        <v>4.9552659999999999</v>
      </c>
      <c r="Z120" s="15">
        <f>+ROUND(G$3*EXP(P120),6)</f>
        <v>4.3475289999999998</v>
      </c>
      <c r="AA120" s="15">
        <f>+ROUND(H$3*EXP(Q120),6)</f>
        <v>3.453125</v>
      </c>
      <c r="AB120" s="1">
        <v>118</v>
      </c>
      <c r="AC120" s="5" t="s">
        <v>119</v>
      </c>
      <c r="AD120" s="16">
        <f>+ROUND(Pozisyon!$U$4*('Data - Simülasyon- P&amp;L'!U120-'Data - Simülasyon- P&amp;L'!B$3),6)</f>
        <v>17328.815999999999</v>
      </c>
      <c r="AE120" s="16">
        <f>+ROUND(Pozisyon!$U$5*('Data - Simülasyon- P&amp;L'!V120-'Data - Simülasyon- P&amp;L'!C$3),6)</f>
        <v>2794.9250000000002</v>
      </c>
      <c r="AF120" s="16">
        <f>+ROUND(Pozisyon!$U$6*('Data - Simülasyon- P&amp;L'!W120-'Data - Simülasyon- P&amp;L'!D$3),6)</f>
        <v>1010.9625</v>
      </c>
      <c r="AG120" s="16">
        <f>+ROUND(Pozisyon!$U$7*('Data - Simülasyon- P&amp;L'!X120-'Data - Simülasyon- P&amp;L'!E$3),6)</f>
        <v>5599.2860000000001</v>
      </c>
      <c r="AH120" s="16">
        <f>+ROUND(Pozisyon!$U$8*('Data - Simülasyon- P&amp;L'!Y120-'Data - Simülasyon- P&amp;L'!F$3),6)</f>
        <v>-5293.076</v>
      </c>
      <c r="AI120" s="16">
        <f>+ROUND(Pozisyon!$U$9*('Data - Simülasyon- P&amp;L'!Z120-'Data - Simülasyon- P&amp;L'!G$3),6)</f>
        <v>5276.2290000000003</v>
      </c>
      <c r="AJ120" s="16">
        <f>+ROUND(Pozisyon!$U$10*('Data - Simülasyon- P&amp;L'!AA120-'Data - Simülasyon- P&amp;L'!H$3),6)</f>
        <v>11626.875</v>
      </c>
      <c r="AK120" s="16">
        <f>+SUM(AD120:AJ120)</f>
        <v>38344.017500000002</v>
      </c>
      <c r="AL120" s="16">
        <f>+SMALL($AK$3:$AK$254,AB120)</f>
        <v>981.73400000000038</v>
      </c>
    </row>
    <row r="121" spans="1:38" ht="15" thickBot="1" x14ac:dyDescent="0.35">
      <c r="A121" s="5" t="s">
        <v>402</v>
      </c>
      <c r="B121" s="6">
        <v>8.2100000000000009</v>
      </c>
      <c r="C121" s="5">
        <v>9.1999999999999993</v>
      </c>
      <c r="D121" s="6">
        <v>4.1100000000000003</v>
      </c>
      <c r="E121" s="5">
        <v>1.45</v>
      </c>
      <c r="F121" s="5">
        <v>6.04</v>
      </c>
      <c r="G121" s="5">
        <v>4.9400000000000004</v>
      </c>
      <c r="H121" s="5">
        <v>4.13</v>
      </c>
      <c r="J121" s="5" t="s">
        <v>402</v>
      </c>
      <c r="K121" s="11">
        <f>+ROUND(LN(B121/B122),6)</f>
        <v>1.219E-3</v>
      </c>
      <c r="L121" s="11">
        <f>+ROUND(LN(C121/C122),6)</f>
        <v>2.6433000000000002E-2</v>
      </c>
      <c r="M121" s="11">
        <f>+ROUND(LN(D121/D122),6)</f>
        <v>2.4359999999999998E-3</v>
      </c>
      <c r="N121" s="11">
        <f>+ROUND(LN(E121/E122),6)</f>
        <v>1.3889E-2</v>
      </c>
      <c r="O121" s="11">
        <f>+ROUND(LN(F121/F122),6)</f>
        <v>2.1758E-2</v>
      </c>
      <c r="P121" s="11">
        <f>+ROUND(LN(G121/G122),6)</f>
        <v>-8.0649999999999993E-3</v>
      </c>
      <c r="Q121" s="11">
        <f>+ROUND(LN(H121/H122),6)</f>
        <v>1.218E-2</v>
      </c>
      <c r="R121" s="3"/>
      <c r="T121" s="5" t="s">
        <v>120</v>
      </c>
      <c r="U121" s="15">
        <f>+ROUND(B$3*EXP(K121),6)</f>
        <v>7.6092700000000004</v>
      </c>
      <c r="V121" s="15">
        <f>+ROUND(C$3*EXP(L121),6)</f>
        <v>9.6004439999999995</v>
      </c>
      <c r="W121" s="15">
        <f>+ROUND(D$3*EXP(M121),6)</f>
        <v>2.7767559999999998</v>
      </c>
      <c r="X121" s="15">
        <f>+ROUND(E$3*EXP(N121),6)</f>
        <v>1.1660839999999999</v>
      </c>
      <c r="Y121" s="15">
        <f>+ROUND(F$3*EXP(O121),6)</f>
        <v>5.0895419999999998</v>
      </c>
      <c r="Z121" s="15">
        <f>+ROUND(G$3*EXP(P121),6)</f>
        <v>4.2952190000000003</v>
      </c>
      <c r="AA121" s="15">
        <f>+ROUND(H$3*EXP(Q121),6)</f>
        <v>3.46191</v>
      </c>
      <c r="AB121" s="1">
        <v>119</v>
      </c>
      <c r="AC121" s="5" t="s">
        <v>120</v>
      </c>
      <c r="AD121" s="16">
        <f>+ROUND(Pozisyon!$U$4*('Data - Simülasyon- P&amp;L'!U121-'Data - Simülasyon- P&amp;L'!B$3),6)</f>
        <v>1334.88</v>
      </c>
      <c r="AE121" s="16">
        <f>+ROUND(Pozisyon!$U$5*('Data - Simülasyon- P&amp;L'!V121-'Data - Simülasyon- P&amp;L'!C$3),6)</f>
        <v>6261.1</v>
      </c>
      <c r="AF121" s="16">
        <f>+ROUND(Pozisyon!$U$6*('Data - Simülasyon- P&amp;L'!W121-'Data - Simülasyon- P&amp;L'!D$3),6)</f>
        <v>126.675</v>
      </c>
      <c r="AG121" s="16">
        <f>+ROUND(Pozisyon!$U$7*('Data - Simülasyon- P&amp;L'!X121-'Data - Simülasyon- P&amp;L'!E$3),6)</f>
        <v>5677.652</v>
      </c>
      <c r="AH121" s="16">
        <f>+ROUND(Pozisyon!$U$8*('Data - Simülasyon- P&amp;L'!Y121-'Data - Simülasyon- P&amp;L'!F$3),6)</f>
        <v>23441.988000000001</v>
      </c>
      <c r="AI121" s="16">
        <f>+ROUND(Pozisyon!$U$9*('Data - Simülasyon- P&amp;L'!Z121-'Data - Simülasyon- P&amp;L'!G$3),6)</f>
        <v>-10469.081</v>
      </c>
      <c r="AJ121" s="16">
        <f>+ROUND(Pozisyon!$U$10*('Data - Simülasyon- P&amp;L'!AA121-'Data - Simülasyon- P&amp;L'!H$3),6)</f>
        <v>14710.41</v>
      </c>
      <c r="AK121" s="16">
        <f>+SUM(AD121:AJ121)</f>
        <v>41083.623999999996</v>
      </c>
      <c r="AL121" s="16">
        <f>+SMALL($AK$3:$AK$254,AB121)</f>
        <v>3419.0939999999973</v>
      </c>
    </row>
    <row r="122" spans="1:38" ht="15" thickBot="1" x14ac:dyDescent="0.35">
      <c r="A122" s="5" t="s">
        <v>403</v>
      </c>
      <c r="B122" s="6">
        <v>8.1999999999999993</v>
      </c>
      <c r="C122" s="5">
        <v>8.9600000000000009</v>
      </c>
      <c r="D122" s="6">
        <v>4.0999999999999996</v>
      </c>
      <c r="E122" s="5">
        <v>1.43</v>
      </c>
      <c r="F122" s="5">
        <v>5.91</v>
      </c>
      <c r="G122" s="5">
        <v>4.9800000000000004</v>
      </c>
      <c r="H122" s="5">
        <v>4.08</v>
      </c>
      <c r="J122" s="5" t="s">
        <v>403</v>
      </c>
      <c r="K122" s="11">
        <f>+ROUND(LN(B122/B123),6)</f>
        <v>2.845E-2</v>
      </c>
      <c r="L122" s="11">
        <f>+ROUND(LN(C122/C123),6)</f>
        <v>3.8684999999999997E-2</v>
      </c>
      <c r="M122" s="11">
        <f>+ROUND(LN(D122/D123),6)</f>
        <v>-7.0618E-2</v>
      </c>
      <c r="N122" s="11">
        <f>+ROUND(LN(E122/E123),6)</f>
        <v>-6.9690000000000004E-3</v>
      </c>
      <c r="O122" s="11">
        <f>+ROUND(LN(F122/F123),6)</f>
        <v>3.6179999999999997E-2</v>
      </c>
      <c r="P122" s="11">
        <f>+ROUND(LN(G122/G123),6)</f>
        <v>4.7285000000000001E-2</v>
      </c>
      <c r="Q122" s="11">
        <f>+ROUND(LN(H122/H123),6)</f>
        <v>1.9803000000000001E-2</v>
      </c>
      <c r="R122" s="3"/>
      <c r="T122" s="5" t="s">
        <v>121</v>
      </c>
      <c r="U122" s="15">
        <f>+ROUND(B$3*EXP(K122),6)</f>
        <v>7.8193250000000001</v>
      </c>
      <c r="V122" s="15">
        <f>+ROUND(C$3*EXP(L122),6)</f>
        <v>9.7187920000000005</v>
      </c>
      <c r="W122" s="15">
        <f>+ROUND(D$3*EXP(M122),6)</f>
        <v>2.5811350000000002</v>
      </c>
      <c r="X122" s="15">
        <f>+ROUND(E$3*EXP(N122),6)</f>
        <v>1.1420140000000001</v>
      </c>
      <c r="Y122" s="15">
        <f>+ROUND(F$3*EXP(O122),6)</f>
        <v>5.163475</v>
      </c>
      <c r="Z122" s="15">
        <f>+ROUND(G$3*EXP(P122),6)</f>
        <v>4.5396619999999999</v>
      </c>
      <c r="AA122" s="15">
        <f>+ROUND(H$3*EXP(Q122),6)</f>
        <v>3.4884010000000001</v>
      </c>
      <c r="AB122" s="1">
        <v>120</v>
      </c>
      <c r="AC122" s="5" t="s">
        <v>121</v>
      </c>
      <c r="AD122" s="16">
        <f>+ROUND(Pozisyon!$U$4*('Data - Simülasyon- P&amp;L'!U122-'Data - Simülasyon- P&amp;L'!B$3),6)</f>
        <v>31582.799999999999</v>
      </c>
      <c r="AE122" s="16">
        <f>+ROUND(Pozisyon!$U$5*('Data - Simülasyon- P&amp;L'!V122-'Data - Simülasyon- P&amp;L'!C$3),6)</f>
        <v>9219.7999999999993</v>
      </c>
      <c r="AF122" s="16">
        <f>+ROUND(Pozisyon!$U$6*('Data - Simülasyon- P&amp;L'!W122-'Data - Simülasyon- P&amp;L'!D$3),6)</f>
        <v>-3541.21875</v>
      </c>
      <c r="AG122" s="16">
        <f>+ROUND(Pozisyon!$U$7*('Data - Simülasyon- P&amp;L'!X122-'Data - Simülasyon- P&amp;L'!E$3),6)</f>
        <v>-2819.058</v>
      </c>
      <c r="AH122" s="16">
        <f>+ROUND(Pozisyon!$U$8*('Data - Simülasyon- P&amp;L'!Y122-'Data - Simülasyon- P&amp;L'!F$3),6)</f>
        <v>39263.65</v>
      </c>
      <c r="AI122" s="16">
        <f>+ROUND(Pozisyon!$U$9*('Data - Simülasyon- P&amp;L'!Z122-'Data - Simülasyon- P&amp;L'!G$3),6)</f>
        <v>63108.262000000002</v>
      </c>
      <c r="AJ122" s="16">
        <f>+ROUND(Pozisyon!$U$10*('Data - Simülasyon- P&amp;L'!AA122-'Data - Simülasyon- P&amp;L'!H$3),6)</f>
        <v>24008.751</v>
      </c>
      <c r="AK122" s="16">
        <f>+SUM(AD122:AJ122)</f>
        <v>160822.98625000002</v>
      </c>
      <c r="AL122" s="16">
        <f>+SMALL($AK$3:$AK$254,AB122)</f>
        <v>3757.92625</v>
      </c>
    </row>
    <row r="123" spans="1:38" ht="15" thickBot="1" x14ac:dyDescent="0.35">
      <c r="A123" s="5" t="s">
        <v>404</v>
      </c>
      <c r="B123" s="6">
        <v>7.97</v>
      </c>
      <c r="C123" s="5">
        <v>8.6199999999999992</v>
      </c>
      <c r="D123" s="6">
        <v>4.4000000000000004</v>
      </c>
      <c r="E123" s="5">
        <v>1.44</v>
      </c>
      <c r="F123" s="5">
        <v>5.7</v>
      </c>
      <c r="G123" s="5">
        <v>4.75</v>
      </c>
      <c r="H123" s="5">
        <v>4</v>
      </c>
      <c r="J123" s="5" t="s">
        <v>404</v>
      </c>
      <c r="K123" s="11">
        <f>+ROUND(LN(B123/B124),6)</f>
        <v>1.7722000000000002E-2</v>
      </c>
      <c r="L123" s="11">
        <f>+ROUND(LN(C123/C124),6)</f>
        <v>1.4019E-2</v>
      </c>
      <c r="M123" s="11">
        <f>+ROUND(LN(D123/D124),6)</f>
        <v>0.12576899999999999</v>
      </c>
      <c r="N123" s="11">
        <f>+ROUND(LN(E123/E124),6)</f>
        <v>4.2560000000000001E-2</v>
      </c>
      <c r="O123" s="11">
        <f>+ROUND(LN(F123/F124),6)</f>
        <v>1.4135E-2</v>
      </c>
      <c r="P123" s="11">
        <f>+ROUND(LN(G123/G124),6)</f>
        <v>2.775E-2</v>
      </c>
      <c r="Q123" s="11">
        <f>+ROUND(LN(H123/H124),6)</f>
        <v>5.0130000000000001E-3</v>
      </c>
      <c r="R123" s="3"/>
      <c r="T123" s="5" t="s">
        <v>122</v>
      </c>
      <c r="U123" s="15">
        <f>+ROUND(B$3*EXP(K123),6)</f>
        <v>7.7358880000000001</v>
      </c>
      <c r="V123" s="15">
        <f>+ROUND(C$3*EXP(L123),6)</f>
        <v>9.4820010000000003</v>
      </c>
      <c r="W123" s="15">
        <f>+ROUND(D$3*EXP(M123),6)</f>
        <v>3.1412360000000001</v>
      </c>
      <c r="X123" s="15">
        <f>+ROUND(E$3*EXP(N123),6)</f>
        <v>1.2</v>
      </c>
      <c r="Y123" s="15">
        <f>+ROUND(F$3*EXP(O123),6)</f>
        <v>5.0508920000000002</v>
      </c>
      <c r="Z123" s="15">
        <f>+ROUND(G$3*EXP(P123),6)</f>
        <v>4.4518399999999998</v>
      </c>
      <c r="AA123" s="15">
        <f>+ROUND(H$3*EXP(Q123),6)</f>
        <v>3.4371879999999999</v>
      </c>
      <c r="AB123" s="1">
        <v>121</v>
      </c>
      <c r="AC123" s="5" t="s">
        <v>122</v>
      </c>
      <c r="AD123" s="16">
        <f>+ROUND(Pozisyon!$U$4*('Data - Simülasyon- P&amp;L'!U123-'Data - Simülasyon- P&amp;L'!B$3),6)</f>
        <v>19567.871999999999</v>
      </c>
      <c r="AE123" s="16">
        <f>+ROUND(Pozisyon!$U$5*('Data - Simülasyon- P&amp;L'!V123-'Data - Simülasyon- P&amp;L'!C$3),6)</f>
        <v>3300.0250000000001</v>
      </c>
      <c r="AF123" s="16">
        <f>+ROUND(Pozisyon!$U$6*('Data - Simülasyon- P&amp;L'!W123-'Data - Simülasyon- P&amp;L'!D$3),6)</f>
        <v>6960.6750000000002</v>
      </c>
      <c r="AG123" s="16">
        <f>+ROUND(Pozisyon!$U$7*('Data - Simülasyon- P&amp;L'!X123-'Data - Simülasyon- P&amp;L'!E$3),6)</f>
        <v>17650</v>
      </c>
      <c r="AH123" s="16">
        <f>+ROUND(Pozisyon!$U$8*('Data - Simülasyon- P&amp;L'!Y123-'Data - Simülasyon- P&amp;L'!F$3),6)</f>
        <v>15170.888000000001</v>
      </c>
      <c r="AI123" s="16">
        <f>+ROUND(Pozisyon!$U$9*('Data - Simülasyon- P&amp;L'!Z123-'Data - Simülasyon- P&amp;L'!G$3),6)</f>
        <v>36673.839999999997</v>
      </c>
      <c r="AJ123" s="16">
        <f>+ROUND(Pozisyon!$U$10*('Data - Simülasyon- P&amp;L'!AA123-'Data - Simülasyon- P&amp;L'!H$3),6)</f>
        <v>6032.9880000000003</v>
      </c>
      <c r="AK123" s="16">
        <f>+SUM(AD123:AJ123)</f>
        <v>105356.28799999999</v>
      </c>
      <c r="AL123" s="16">
        <f>+SMALL($AK$3:$AK$254,AB123)</f>
        <v>3826.5987499999974</v>
      </c>
    </row>
    <row r="124" spans="1:38" ht="15" thickBot="1" x14ac:dyDescent="0.35">
      <c r="A124" s="5" t="s">
        <v>405</v>
      </c>
      <c r="B124" s="6">
        <v>7.83</v>
      </c>
      <c r="C124" s="5">
        <v>8.5</v>
      </c>
      <c r="D124" s="6">
        <v>3.88</v>
      </c>
      <c r="E124" s="5">
        <v>1.38</v>
      </c>
      <c r="F124" s="5">
        <v>5.62</v>
      </c>
      <c r="G124" s="5">
        <v>4.62</v>
      </c>
      <c r="H124" s="5">
        <v>3.98</v>
      </c>
      <c r="J124" s="5" t="s">
        <v>405</v>
      </c>
      <c r="K124" s="11">
        <f>+ROUND(LN(B124/B125),6)</f>
        <v>6.4060000000000002E-3</v>
      </c>
      <c r="L124" s="11">
        <f>+ROUND(LN(C124/C125),6)</f>
        <v>-5.8650000000000004E-3</v>
      </c>
      <c r="M124" s="11">
        <f>+ROUND(LN(D124/D125),6)</f>
        <v>-5.1409999999999997E-3</v>
      </c>
      <c r="N124" s="11">
        <f>+ROUND(LN(E124/E125),6)</f>
        <v>2.1978999999999999E-2</v>
      </c>
      <c r="O124" s="11">
        <f>+ROUND(LN(F124/F125),6)</f>
        <v>-1.9383999999999998E-2</v>
      </c>
      <c r="P124" s="11">
        <f>+ROUND(LN(G124/G125),6)</f>
        <v>1.3072E-2</v>
      </c>
      <c r="Q124" s="11">
        <f>+ROUND(LN(H124/H125),6)</f>
        <v>-5.0130000000000001E-3</v>
      </c>
      <c r="R124" s="3"/>
      <c r="T124" s="5" t="s">
        <v>123</v>
      </c>
      <c r="U124" s="15">
        <f>+ROUND(B$3*EXP(K124),6)</f>
        <v>7.6488420000000001</v>
      </c>
      <c r="V124" s="15">
        <f>+ROUND(C$3*EXP(L124),6)</f>
        <v>9.2953229999999998</v>
      </c>
      <c r="W124" s="15">
        <f>+ROUND(D$3*EXP(M124),6)</f>
        <v>2.7557960000000001</v>
      </c>
      <c r="X124" s="15">
        <f>+ROUND(E$3*EXP(N124),6)</f>
        <v>1.175556</v>
      </c>
      <c r="Y124" s="15">
        <f>+ROUND(F$3*EXP(O124),6)</f>
        <v>4.8843969999999999</v>
      </c>
      <c r="Z124" s="15">
        <f>+ROUND(G$3*EXP(P124),6)</f>
        <v>4.3869730000000002</v>
      </c>
      <c r="AA124" s="15">
        <f>+ROUND(H$3*EXP(Q124),6)</f>
        <v>3.402898</v>
      </c>
      <c r="AB124" s="1">
        <v>122</v>
      </c>
      <c r="AC124" s="5" t="s">
        <v>123</v>
      </c>
      <c r="AD124" s="16">
        <f>+ROUND(Pozisyon!$U$4*('Data - Simülasyon- P&amp;L'!U124-'Data - Simülasyon- P&amp;L'!B$3),6)</f>
        <v>7033.2479999999996</v>
      </c>
      <c r="AE124" s="16">
        <f>+ROUND(Pozisyon!$U$5*('Data - Simülasyon- P&amp;L'!V124-'Data - Simülasyon- P&amp;L'!C$3),6)</f>
        <v>-1366.925</v>
      </c>
      <c r="AF124" s="16">
        <f>+ROUND(Pozisyon!$U$6*('Data - Simülasyon- P&amp;L'!W124-'Data - Simülasyon- P&amp;L'!D$3),6)</f>
        <v>-266.32499999999999</v>
      </c>
      <c r="AG124" s="16">
        <f>+ROUND(Pozisyon!$U$7*('Data - Simülasyon- P&amp;L'!X124-'Data - Simülasyon- P&amp;L'!E$3),6)</f>
        <v>9021.268</v>
      </c>
      <c r="AH124" s="16">
        <f>+ROUND(Pozisyon!$U$8*('Data - Simülasyon- P&amp;L'!Y124-'Data - Simülasyon- P&amp;L'!F$3),6)</f>
        <v>-20459.042000000001</v>
      </c>
      <c r="AI124" s="16">
        <f>+ROUND(Pozisyon!$U$9*('Data - Simülasyon- P&amp;L'!Z124-'Data - Simülasyon- P&amp;L'!G$3),6)</f>
        <v>17148.873</v>
      </c>
      <c r="AJ124" s="16">
        <f>+ROUND(Pozisyon!$U$10*('Data - Simülasyon- P&amp;L'!AA124-'Data - Simülasyon- P&amp;L'!H$3),6)</f>
        <v>-6002.8019999999997</v>
      </c>
      <c r="AK124" s="16">
        <f>+SUM(AD124:AJ124)</f>
        <v>5108.2949999999983</v>
      </c>
      <c r="AL124" s="16">
        <f>+SMALL($AK$3:$AK$254,AB124)</f>
        <v>4283.4552500000027</v>
      </c>
    </row>
    <row r="125" spans="1:38" ht="15" thickBot="1" x14ac:dyDescent="0.35">
      <c r="A125" s="5" t="s">
        <v>406</v>
      </c>
      <c r="B125" s="6">
        <v>7.78</v>
      </c>
      <c r="C125" s="5">
        <v>8.5500000000000007</v>
      </c>
      <c r="D125" s="6">
        <v>3.9</v>
      </c>
      <c r="E125" s="5">
        <v>1.35</v>
      </c>
      <c r="F125" s="5">
        <v>5.73</v>
      </c>
      <c r="G125" s="5">
        <v>4.5599999999999996</v>
      </c>
      <c r="H125" s="5">
        <v>4</v>
      </c>
      <c r="J125" s="5" t="s">
        <v>406</v>
      </c>
      <c r="K125" s="11">
        <f>+ROUND(LN(B125/B126),6)</f>
        <v>1.2937000000000001E-2</v>
      </c>
      <c r="L125" s="11">
        <f>+ROUND(LN(C125/C126),6)</f>
        <v>-2.336E-3</v>
      </c>
      <c r="M125" s="11">
        <f>+ROUND(LN(D125/D126),6)</f>
        <v>0</v>
      </c>
      <c r="N125" s="11">
        <f>+ROUND(LN(E125/E126),6)</f>
        <v>7.4349999999999998E-3</v>
      </c>
      <c r="O125" s="11">
        <f>+ROUND(LN(F125/F126),6)</f>
        <v>1.7470000000000001E-3</v>
      </c>
      <c r="P125" s="11">
        <f>+ROUND(LN(G125/G126),6)</f>
        <v>2.1949999999999999E-3</v>
      </c>
      <c r="Q125" s="11">
        <f>+ROUND(LN(H125/H126),6)</f>
        <v>2.503E-3</v>
      </c>
      <c r="R125" s="3"/>
      <c r="T125" s="5" t="s">
        <v>124</v>
      </c>
      <c r="U125" s="15">
        <f>+ROUND(B$3*EXP(K125),6)</f>
        <v>7.6989599999999996</v>
      </c>
      <c r="V125" s="15">
        <f>+ROUND(C$3*EXP(L125),6)</f>
        <v>9.3281840000000003</v>
      </c>
      <c r="W125" s="15">
        <f>+ROUND(D$3*EXP(M125),6)</f>
        <v>2.77</v>
      </c>
      <c r="X125" s="15">
        <f>+ROUND(E$3*EXP(N125),6)</f>
        <v>1.158582</v>
      </c>
      <c r="Y125" s="15">
        <f>+ROUND(F$3*EXP(O125),6)</f>
        <v>4.9887079999999999</v>
      </c>
      <c r="Z125" s="15">
        <f>+ROUND(G$3*EXP(P125),6)</f>
        <v>4.3395149999999996</v>
      </c>
      <c r="AA125" s="15">
        <f>+ROUND(H$3*EXP(Q125),6)</f>
        <v>3.4285709999999998</v>
      </c>
      <c r="AB125" s="1">
        <v>123</v>
      </c>
      <c r="AC125" s="5" t="s">
        <v>124</v>
      </c>
      <c r="AD125" s="16">
        <f>+ROUND(Pozisyon!$U$4*('Data - Simülasyon- P&amp;L'!U125-'Data - Simülasyon- P&amp;L'!B$3),6)</f>
        <v>14250.24</v>
      </c>
      <c r="AE125" s="16">
        <f>+ROUND(Pozisyon!$U$5*('Data - Simülasyon- P&amp;L'!V125-'Data - Simülasyon- P&amp;L'!C$3),6)</f>
        <v>-545.4</v>
      </c>
      <c r="AF125" s="16">
        <f>+ROUND(Pozisyon!$U$6*('Data - Simülasyon- P&amp;L'!W125-'Data - Simülasyon- P&amp;L'!D$3),6)</f>
        <v>0</v>
      </c>
      <c r="AG125" s="16">
        <f>+ROUND(Pozisyon!$U$7*('Data - Simülasyon- P&amp;L'!X125-'Data - Simülasyon- P&amp;L'!E$3),6)</f>
        <v>3029.4459999999999</v>
      </c>
      <c r="AH125" s="16">
        <f>+ROUND(Pozisyon!$U$8*('Data - Simülasyon- P&amp;L'!Y125-'Data - Simülasyon- P&amp;L'!F$3),6)</f>
        <v>1863.5119999999999</v>
      </c>
      <c r="AI125" s="16">
        <f>+ROUND(Pozisyon!$U$9*('Data - Simülasyon- P&amp;L'!Z125-'Data - Simülasyon- P&amp;L'!G$3),6)</f>
        <v>2864.0149999999999</v>
      </c>
      <c r="AJ125" s="16">
        <f>+ROUND(Pozisyon!$U$10*('Data - Simülasyon- P&amp;L'!AA125-'Data - Simülasyon- P&amp;L'!H$3),6)</f>
        <v>3008.4209999999998</v>
      </c>
      <c r="AK125" s="16">
        <f>+SUM(AD125:AJ125)</f>
        <v>24470.233999999997</v>
      </c>
      <c r="AL125" s="16">
        <f>+SMALL($AK$3:$AK$254,AB125)</f>
        <v>4762.8030000000017</v>
      </c>
    </row>
    <row r="126" spans="1:38" ht="15" thickBot="1" x14ac:dyDescent="0.35">
      <c r="A126" s="5" t="s">
        <v>407</v>
      </c>
      <c r="B126" s="6">
        <v>7.68</v>
      </c>
      <c r="C126" s="5">
        <v>8.57</v>
      </c>
      <c r="D126" s="6">
        <v>3.9</v>
      </c>
      <c r="E126" s="5">
        <v>1.34</v>
      </c>
      <c r="F126" s="5">
        <v>5.72</v>
      </c>
      <c r="G126" s="5">
        <v>4.55</v>
      </c>
      <c r="H126" s="5">
        <v>3.99</v>
      </c>
      <c r="J126" s="5" t="s">
        <v>407</v>
      </c>
      <c r="K126" s="11">
        <f>+ROUND(LN(B126/B127),6)</f>
        <v>1.0470999999999999E-2</v>
      </c>
      <c r="L126" s="11">
        <f>+ROUND(LN(C126/C127),6)</f>
        <v>2.336E-3</v>
      </c>
      <c r="M126" s="11">
        <f>+ROUND(LN(D126/D127),6)</f>
        <v>0</v>
      </c>
      <c r="N126" s="11">
        <f>+ROUND(LN(E126/E127),6)</f>
        <v>3.8026999999999998E-2</v>
      </c>
      <c r="O126" s="11">
        <f>+ROUND(LN(F126/F127),6)</f>
        <v>-5.2310000000000004E-3</v>
      </c>
      <c r="P126" s="11">
        <f>+ROUND(LN(G126/G127),6)</f>
        <v>1.1050000000000001E-2</v>
      </c>
      <c r="Q126" s="11">
        <f>+ROUND(LN(H126/H127),6)</f>
        <v>5.025E-3</v>
      </c>
      <c r="R126" s="3"/>
      <c r="T126" s="5" t="s">
        <v>125</v>
      </c>
      <c r="U126" s="15">
        <f>+ROUND(B$3*EXP(K126),6)</f>
        <v>7.6799980000000003</v>
      </c>
      <c r="V126" s="15">
        <f>+ROUND(C$3*EXP(L126),6)</f>
        <v>9.3718669999999999</v>
      </c>
      <c r="W126" s="15">
        <f>+ROUND(D$3*EXP(M126),6)</f>
        <v>2.77</v>
      </c>
      <c r="X126" s="15">
        <f>+ROUND(E$3*EXP(N126),6)</f>
        <v>1.1945730000000001</v>
      </c>
      <c r="Y126" s="15">
        <f>+ROUND(F$3*EXP(O126),6)</f>
        <v>4.9540179999999996</v>
      </c>
      <c r="Z126" s="15">
        <f>+ROUND(G$3*EXP(P126),6)</f>
        <v>4.3781119999999998</v>
      </c>
      <c r="AA126" s="15">
        <f>+ROUND(H$3*EXP(Q126),6)</f>
        <v>3.4372289999999999</v>
      </c>
      <c r="AB126" s="1">
        <v>124</v>
      </c>
      <c r="AC126" s="5" t="s">
        <v>125</v>
      </c>
      <c r="AD126" s="16">
        <f>+ROUND(Pozisyon!$U$4*('Data - Simülasyon- P&amp;L'!U126-'Data - Simülasyon- P&amp;L'!B$3),6)</f>
        <v>11519.712</v>
      </c>
      <c r="AE126" s="16">
        <f>+ROUND(Pozisyon!$U$5*('Data - Simülasyon- P&amp;L'!V126-'Data - Simülasyon- P&amp;L'!C$3),6)</f>
        <v>546.67499999999995</v>
      </c>
      <c r="AF126" s="16">
        <f>+ROUND(Pozisyon!$U$6*('Data - Simülasyon- P&amp;L'!W126-'Data - Simülasyon- P&amp;L'!D$3),6)</f>
        <v>0</v>
      </c>
      <c r="AG126" s="16">
        <f>+ROUND(Pozisyon!$U$7*('Data - Simülasyon- P&amp;L'!X126-'Data - Simülasyon- P&amp;L'!E$3),6)</f>
        <v>15734.269</v>
      </c>
      <c r="AH126" s="16">
        <f>+ROUND(Pozisyon!$U$8*('Data - Simülasyon- P&amp;L'!Y126-'Data - Simülasyon- P&amp;L'!F$3),6)</f>
        <v>-5560.1480000000001</v>
      </c>
      <c r="AI126" s="16">
        <f>+ROUND(Pozisyon!$U$9*('Data - Simülasyon- P&amp;L'!Z126-'Data - Simülasyon- P&amp;L'!G$3),6)</f>
        <v>14481.712</v>
      </c>
      <c r="AJ126" s="16">
        <f>+ROUND(Pozisyon!$U$10*('Data - Simülasyon- P&amp;L'!AA126-'Data - Simülasyon- P&amp;L'!H$3),6)</f>
        <v>6047.3789999999999</v>
      </c>
      <c r="AK126" s="16">
        <f>+SUM(AD126:AJ126)</f>
        <v>42769.599000000002</v>
      </c>
      <c r="AL126" s="16">
        <f>+SMALL($AK$3:$AK$254,AB126)</f>
        <v>5047.8739999999998</v>
      </c>
    </row>
    <row r="127" spans="1:38" ht="15" thickBot="1" x14ac:dyDescent="0.35">
      <c r="A127" s="5" t="s">
        <v>408</v>
      </c>
      <c r="B127" s="6">
        <v>7.6</v>
      </c>
      <c r="C127" s="5">
        <v>8.5500000000000007</v>
      </c>
      <c r="D127" s="6">
        <v>3.9</v>
      </c>
      <c r="E127" s="5">
        <v>1.29</v>
      </c>
      <c r="F127" s="5">
        <v>5.75</v>
      </c>
      <c r="G127" s="5">
        <v>4.5</v>
      </c>
      <c r="H127" s="5">
        <v>3.97</v>
      </c>
      <c r="J127" s="5" t="s">
        <v>408</v>
      </c>
      <c r="K127" s="11">
        <f>+ROUND(LN(B127/B128),6)</f>
        <v>-5.2490000000000002E-3</v>
      </c>
      <c r="L127" s="11">
        <f>+ROUND(LN(C127/C128),6)</f>
        <v>-8.1539999999999998E-3</v>
      </c>
      <c r="M127" s="11">
        <f>+ROUND(LN(D127/D128),6)</f>
        <v>0</v>
      </c>
      <c r="N127" s="11">
        <f>+ROUND(LN(E127/E128),6)</f>
        <v>-7.7219999999999997E-3</v>
      </c>
      <c r="O127" s="11">
        <f>+ROUND(LN(F127/F128),6)</f>
        <v>-1.7242E-2</v>
      </c>
      <c r="P127" s="11">
        <f>+ROUND(LN(G127/G128),6)</f>
        <v>-1.5436E-2</v>
      </c>
      <c r="Q127" s="11">
        <f>+ROUND(LN(H127/H128),6)</f>
        <v>5.0509999999999999E-3</v>
      </c>
      <c r="R127" s="3"/>
      <c r="T127" s="5" t="s">
        <v>126</v>
      </c>
      <c r="U127" s="15">
        <f>+ROUND(B$3*EXP(K127),6)</f>
        <v>7.5602119999999999</v>
      </c>
      <c r="V127" s="15">
        <f>+ROUND(C$3*EXP(L127),6)</f>
        <v>9.27407</v>
      </c>
      <c r="W127" s="15">
        <f>+ROUND(D$3*EXP(M127),6)</f>
        <v>2.77</v>
      </c>
      <c r="X127" s="15">
        <f>+ROUND(E$3*EXP(N127),6)</f>
        <v>1.141154</v>
      </c>
      <c r="Y127" s="15">
        <f>+ROUND(F$3*EXP(O127),6)</f>
        <v>4.8948710000000002</v>
      </c>
      <c r="Z127" s="15">
        <f>+ROUND(G$3*EXP(P127),6)</f>
        <v>4.2636750000000001</v>
      </c>
      <c r="AA127" s="15">
        <f>+ROUND(H$3*EXP(Q127),6)</f>
        <v>3.4373179999999999</v>
      </c>
      <c r="AB127" s="1">
        <v>125</v>
      </c>
      <c r="AC127" s="5" t="s">
        <v>126</v>
      </c>
      <c r="AD127" s="16">
        <f>+ROUND(Pozisyon!$U$4*('Data - Simülasyon- P&amp;L'!U127-'Data - Simülasyon- P&amp;L'!B$3),6)</f>
        <v>-5729.4719999999998</v>
      </c>
      <c r="AE127" s="16">
        <f>+ROUND(Pozisyon!$U$5*('Data - Simülasyon- P&amp;L'!V127-'Data - Simülasyon- P&amp;L'!C$3),6)</f>
        <v>-1898.25</v>
      </c>
      <c r="AF127" s="16">
        <f>+ROUND(Pozisyon!$U$6*('Data - Simülasyon- P&amp;L'!W127-'Data - Simülasyon- P&amp;L'!D$3),6)</f>
        <v>0</v>
      </c>
      <c r="AG127" s="16">
        <f>+ROUND(Pozisyon!$U$7*('Data - Simülasyon- P&amp;L'!X127-'Data - Simülasyon- P&amp;L'!E$3),6)</f>
        <v>-3122.6379999999999</v>
      </c>
      <c r="AH127" s="16">
        <f>+ROUND(Pozisyon!$U$8*('Data - Simülasyon- P&amp;L'!Y127-'Data - Simülasyon- P&amp;L'!F$3),6)</f>
        <v>-18217.606</v>
      </c>
      <c r="AI127" s="16">
        <f>+ROUND(Pozisyon!$U$9*('Data - Simülasyon- P&amp;L'!Z127-'Data - Simülasyon- P&amp;L'!G$3),6)</f>
        <v>-19963.825000000001</v>
      </c>
      <c r="AJ127" s="16">
        <f>+ROUND(Pozisyon!$U$10*('Data - Simülasyon- P&amp;L'!AA127-'Data - Simülasyon- P&amp;L'!H$3),6)</f>
        <v>6078.6180000000004</v>
      </c>
      <c r="AK127" s="16">
        <f>+SUM(AD127:AJ127)</f>
        <v>-42853.172999999995</v>
      </c>
      <c r="AL127" s="16">
        <f>+SMALL($AK$3:$AK$254,AB127)</f>
        <v>5108.2949999999983</v>
      </c>
    </row>
    <row r="128" spans="1:38" ht="15" thickBot="1" x14ac:dyDescent="0.35">
      <c r="A128" s="5" t="s">
        <v>409</v>
      </c>
      <c r="B128" s="6">
        <v>7.64</v>
      </c>
      <c r="C128" s="5">
        <v>8.6199999999999992</v>
      </c>
      <c r="D128" s="6">
        <v>3.9</v>
      </c>
      <c r="E128" s="5">
        <v>1.3</v>
      </c>
      <c r="F128" s="5">
        <v>5.85</v>
      </c>
      <c r="G128" s="5">
        <v>4.57</v>
      </c>
      <c r="H128" s="5">
        <v>3.95</v>
      </c>
      <c r="J128" s="5" t="s">
        <v>409</v>
      </c>
      <c r="K128" s="11">
        <f>+ROUND(LN(B128/B129),6)</f>
        <v>-1.0416999999999999E-2</v>
      </c>
      <c r="L128" s="11">
        <f>+ROUND(LN(C128/C129),6)</f>
        <v>-1.1534000000000001E-2</v>
      </c>
      <c r="M128" s="11">
        <f>+ROUND(LN(D128/D129),6)</f>
        <v>0</v>
      </c>
      <c r="N128" s="11">
        <f>+ROUND(LN(E128/E129),6)</f>
        <v>0</v>
      </c>
      <c r="O128" s="11">
        <f>+ROUND(LN(F128/F129),6)</f>
        <v>-1.8629E-2</v>
      </c>
      <c r="P128" s="11">
        <f>+ROUND(LN(G128/G129),6)</f>
        <v>-1.7354000000000001E-2</v>
      </c>
      <c r="Q128" s="11">
        <f>+ROUND(LN(H128/H129),6)</f>
        <v>-7.5659999999999998E-3</v>
      </c>
      <c r="R128" s="3"/>
      <c r="T128" s="5" t="s">
        <v>127</v>
      </c>
      <c r="U128" s="15">
        <f>+ROUND(B$3*EXP(K128),6)</f>
        <v>7.521242</v>
      </c>
      <c r="V128" s="15">
        <f>+ROUND(C$3*EXP(L128),6)</f>
        <v>9.2427770000000002</v>
      </c>
      <c r="W128" s="15">
        <f>+ROUND(D$3*EXP(M128),6)</f>
        <v>2.77</v>
      </c>
      <c r="X128" s="15">
        <f>+ROUND(E$3*EXP(N128),6)</f>
        <v>1.1499999999999999</v>
      </c>
      <c r="Y128" s="15">
        <f>+ROUND(F$3*EXP(O128),6)</f>
        <v>4.8880860000000004</v>
      </c>
      <c r="Z128" s="15">
        <f>+ROUND(G$3*EXP(P128),6)</f>
        <v>4.2555050000000003</v>
      </c>
      <c r="AA128" s="15">
        <f>+ROUND(H$3*EXP(Q128),6)</f>
        <v>3.3942220000000001</v>
      </c>
      <c r="AB128" s="1">
        <v>126</v>
      </c>
      <c r="AC128" s="5" t="s">
        <v>127</v>
      </c>
      <c r="AD128" s="16">
        <f>+ROUND(Pozisyon!$U$4*('Data - Simülasyon- P&amp;L'!U128-'Data - Simülasyon- P&amp;L'!B$3),6)</f>
        <v>-11341.152</v>
      </c>
      <c r="AE128" s="16">
        <f>+ROUND(Pozisyon!$U$5*('Data - Simülasyon- P&amp;L'!V128-'Data - Simülasyon- P&amp;L'!C$3),6)</f>
        <v>-2680.5749999999998</v>
      </c>
      <c r="AF128" s="16">
        <f>+ROUND(Pozisyon!$U$6*('Data - Simülasyon- P&amp;L'!W128-'Data - Simülasyon- P&amp;L'!D$3),6)</f>
        <v>0</v>
      </c>
      <c r="AG128" s="16">
        <f>+ROUND(Pozisyon!$U$7*('Data - Simülasyon- P&amp;L'!X128-'Data - Simülasyon- P&amp;L'!E$3),6)</f>
        <v>0</v>
      </c>
      <c r="AH128" s="16">
        <f>+ROUND(Pozisyon!$U$8*('Data - Simülasyon- P&amp;L'!Y128-'Data - Simülasyon- P&amp;L'!F$3),6)</f>
        <v>-19669.596000000001</v>
      </c>
      <c r="AI128" s="16">
        <f>+ROUND(Pozisyon!$U$9*('Data - Simülasyon- P&amp;L'!Z128-'Data - Simülasyon- P&amp;L'!G$3),6)</f>
        <v>-22422.994999999999</v>
      </c>
      <c r="AJ128" s="16">
        <f>+ROUND(Pozisyon!$U$10*('Data - Simülasyon- P&amp;L'!AA128-'Data - Simülasyon- P&amp;L'!H$3),6)</f>
        <v>-9048.0779999999995</v>
      </c>
      <c r="AK128" s="16">
        <f>+SUM(AD128:AJ128)</f>
        <v>-65162.396000000001</v>
      </c>
      <c r="AL128" s="16">
        <f>+SMALL($AK$3:$AK$254,AB128)</f>
        <v>5486.8980000000001</v>
      </c>
    </row>
    <row r="129" spans="1:38" ht="15" thickBot="1" x14ac:dyDescent="0.35">
      <c r="A129" s="5" t="s">
        <v>410</v>
      </c>
      <c r="B129" s="6">
        <v>7.72</v>
      </c>
      <c r="C129" s="5">
        <v>8.7200000000000006</v>
      </c>
      <c r="D129" s="6">
        <v>3.9</v>
      </c>
      <c r="E129" s="5">
        <v>1.3</v>
      </c>
      <c r="F129" s="5">
        <v>5.96</v>
      </c>
      <c r="G129" s="5">
        <v>4.6500000000000004</v>
      </c>
      <c r="H129" s="5">
        <v>3.98</v>
      </c>
      <c r="J129" s="5" t="s">
        <v>410</v>
      </c>
      <c r="K129" s="11">
        <f>+ROUND(LN(B129/B130),6)</f>
        <v>2.0943E-2</v>
      </c>
      <c r="L129" s="11">
        <f>+ROUND(LN(C129/C130),6)</f>
        <v>1.1534000000000001E-2</v>
      </c>
      <c r="M129" s="11">
        <f>+ROUND(LN(D129/D130),6)</f>
        <v>7.7219999999999997E-3</v>
      </c>
      <c r="N129" s="11">
        <f>+ROUND(LN(E129/E130),6)</f>
        <v>1.5504E-2</v>
      </c>
      <c r="O129" s="11">
        <f>+ROUND(LN(F129/F130),6)</f>
        <v>1.5216E-2</v>
      </c>
      <c r="P129" s="11">
        <f>+ROUND(LN(G129/G130),6)</f>
        <v>1.7354000000000001E-2</v>
      </c>
      <c r="Q129" s="11">
        <f>+ROUND(LN(H129/H130),6)</f>
        <v>1.0101000000000001E-2</v>
      </c>
      <c r="R129" s="3"/>
      <c r="T129" s="5" t="s">
        <v>128</v>
      </c>
      <c r="U129" s="15">
        <f>+ROUND(B$3*EXP(K129),6)</f>
        <v>7.7608449999999998</v>
      </c>
      <c r="V129" s="15">
        <f>+ROUND(C$3*EXP(L129),6)</f>
        <v>9.4584670000000006</v>
      </c>
      <c r="W129" s="15">
        <f>+ROUND(D$3*EXP(M129),6)</f>
        <v>2.7914729999999999</v>
      </c>
      <c r="X129" s="15">
        <f>+ROUND(E$3*EXP(N129),6)</f>
        <v>1.167969</v>
      </c>
      <c r="Y129" s="15">
        <f>+ROUND(F$3*EXP(O129),6)</f>
        <v>5.0563549999999999</v>
      </c>
      <c r="Z129" s="15">
        <f>+ROUND(G$3*EXP(P129),6)</f>
        <v>4.405799</v>
      </c>
      <c r="AA129" s="15">
        <f>+ROUND(H$3*EXP(Q129),6)</f>
        <v>3.45472</v>
      </c>
      <c r="AB129" s="1">
        <v>127</v>
      </c>
      <c r="AC129" s="5" t="s">
        <v>128</v>
      </c>
      <c r="AD129" s="16">
        <f>+ROUND(Pozisyon!$U$4*('Data - Simülasyon- P&amp;L'!U129-'Data - Simülasyon- P&amp;L'!B$3),6)</f>
        <v>23161.68</v>
      </c>
      <c r="AE129" s="16">
        <f>+ROUND(Pozisyon!$U$5*('Data - Simülasyon- P&amp;L'!V129-'Data - Simülasyon- P&amp;L'!C$3),6)</f>
        <v>2711.6750000000002</v>
      </c>
      <c r="AF129" s="16">
        <f>+ROUND(Pozisyon!$U$6*('Data - Simülasyon- P&amp;L'!W129-'Data - Simülasyon- P&amp;L'!D$3),6)</f>
        <v>402.61874999999998</v>
      </c>
      <c r="AG129" s="16">
        <f>+ROUND(Pozisyon!$U$7*('Data - Simülasyon- P&amp;L'!X129-'Data - Simülasyon- P&amp;L'!E$3),6)</f>
        <v>6343.0569999999998</v>
      </c>
      <c r="AH129" s="16">
        <f>+ROUND(Pozisyon!$U$8*('Data - Simülasyon- P&amp;L'!Y129-'Data - Simülasyon- P&amp;L'!F$3),6)</f>
        <v>16339.97</v>
      </c>
      <c r="AI129" s="16">
        <f>+ROUND(Pozisyon!$U$9*('Data - Simülasyon- P&amp;L'!Z129-'Data - Simülasyon- P&amp;L'!G$3),6)</f>
        <v>22815.499</v>
      </c>
      <c r="AJ129" s="16">
        <f>+ROUND(Pozisyon!$U$10*('Data - Simülasyon- P&amp;L'!AA129-'Data - Simülasyon- P&amp;L'!H$3),6)</f>
        <v>12186.72</v>
      </c>
      <c r="AK129" s="16">
        <f>+SUM(AD129:AJ129)</f>
        <v>83961.219750000004</v>
      </c>
      <c r="AL129" s="16">
        <f>+SMALL($AK$3:$AK$254,AB129)</f>
        <v>5519.4422500000001</v>
      </c>
    </row>
    <row r="130" spans="1:38" ht="15" thickBot="1" x14ac:dyDescent="0.35">
      <c r="A130" s="5" t="s">
        <v>411</v>
      </c>
      <c r="B130" s="6">
        <v>7.56</v>
      </c>
      <c r="C130" s="5">
        <v>8.6199999999999992</v>
      </c>
      <c r="D130" s="6">
        <v>3.87</v>
      </c>
      <c r="E130" s="5">
        <v>1.28</v>
      </c>
      <c r="F130" s="5">
        <v>5.87</v>
      </c>
      <c r="G130" s="5">
        <v>4.57</v>
      </c>
      <c r="H130" s="5">
        <v>3.94</v>
      </c>
      <c r="J130" s="5" t="s">
        <v>411</v>
      </c>
      <c r="K130" s="11">
        <f>+ROUND(LN(B130/B131),6)</f>
        <v>0</v>
      </c>
      <c r="L130" s="11">
        <f>+ROUND(LN(C130/C131),6)</f>
        <v>-1.0387E-2</v>
      </c>
      <c r="M130" s="11">
        <f>+ROUND(LN(D130/D131),6)</f>
        <v>-7.7219999999999997E-3</v>
      </c>
      <c r="N130" s="11">
        <f>+ROUND(LN(E130/E131),6)</f>
        <v>7.8429999999999993E-3</v>
      </c>
      <c r="O130" s="11">
        <f>+ROUND(LN(F130/F131),6)</f>
        <v>3.2903000000000002E-2</v>
      </c>
      <c r="P130" s="11">
        <f>+ROUND(LN(G130/G131),6)</f>
        <v>8.7910000000000002E-3</v>
      </c>
      <c r="Q130" s="11">
        <f>+ROUND(LN(H130/H131),6)</f>
        <v>0</v>
      </c>
      <c r="R130" s="3"/>
      <c r="T130" s="5" t="s">
        <v>129</v>
      </c>
      <c r="U130" s="15">
        <f>+ROUND(B$3*EXP(K130),6)</f>
        <v>7.6</v>
      </c>
      <c r="V130" s="15">
        <f>+ROUND(C$3*EXP(L130),6)</f>
        <v>9.2533840000000005</v>
      </c>
      <c r="W130" s="15">
        <f>+ROUND(D$3*EXP(M130),6)</f>
        <v>2.7486920000000001</v>
      </c>
      <c r="X130" s="15">
        <f>+ROUND(E$3*EXP(N130),6)</f>
        <v>1.1590549999999999</v>
      </c>
      <c r="Y130" s="15">
        <f>+ROUND(F$3*EXP(O130),6)</f>
        <v>5.1465820000000004</v>
      </c>
      <c r="Z130" s="15">
        <f>+ROUND(G$3*EXP(P130),6)</f>
        <v>4.368233</v>
      </c>
      <c r="AA130" s="15">
        <f>+ROUND(H$3*EXP(Q130),6)</f>
        <v>3.42</v>
      </c>
      <c r="AB130" s="1">
        <v>128</v>
      </c>
      <c r="AC130" s="5" t="s">
        <v>129</v>
      </c>
      <c r="AD130" s="16">
        <f>+ROUND(Pozisyon!$U$4*('Data - Simülasyon- P&amp;L'!U130-'Data - Simülasyon- P&amp;L'!B$3),6)</f>
        <v>0</v>
      </c>
      <c r="AE130" s="16">
        <f>+ROUND(Pozisyon!$U$5*('Data - Simülasyon- P&amp;L'!V130-'Data - Simülasyon- P&amp;L'!C$3),6)</f>
        <v>-2415.4</v>
      </c>
      <c r="AF130" s="16">
        <f>+ROUND(Pozisyon!$U$6*('Data - Simülasyon- P&amp;L'!W130-'Data - Simülasyon- P&amp;L'!D$3),6)</f>
        <v>-399.52499999999998</v>
      </c>
      <c r="AG130" s="16">
        <f>+ROUND(Pozisyon!$U$7*('Data - Simülasyon- P&amp;L'!X130-'Data - Simülasyon- P&amp;L'!E$3),6)</f>
        <v>3196.415</v>
      </c>
      <c r="AH130" s="16">
        <f>+ROUND(Pozisyon!$U$8*('Data - Simülasyon- P&amp;L'!Y130-'Data - Simülasyon- P&amp;L'!F$3),6)</f>
        <v>35648.548000000003</v>
      </c>
      <c r="AI130" s="16">
        <f>+ROUND(Pozisyon!$U$9*('Data - Simülasyon- P&amp;L'!Z130-'Data - Simülasyon- P&amp;L'!G$3),6)</f>
        <v>11508.133</v>
      </c>
      <c r="AJ130" s="16">
        <f>+ROUND(Pozisyon!$U$10*('Data - Simülasyon- P&amp;L'!AA130-'Data - Simülasyon- P&amp;L'!H$3),6)</f>
        <v>0</v>
      </c>
      <c r="AK130" s="16">
        <f>+SUM(AD130:AJ130)</f>
        <v>47538.171000000002</v>
      </c>
      <c r="AL130" s="16">
        <f>+SMALL($AK$3:$AK$254,AB130)</f>
        <v>6548.1402500000013</v>
      </c>
    </row>
    <row r="131" spans="1:38" ht="15" thickBot="1" x14ac:dyDescent="0.35">
      <c r="A131" s="5" t="s">
        <v>412</v>
      </c>
      <c r="B131" s="6">
        <v>7.56</v>
      </c>
      <c r="C131" s="5">
        <v>8.7100000000000009</v>
      </c>
      <c r="D131" s="6">
        <v>3.9</v>
      </c>
      <c r="E131" s="5">
        <v>1.27</v>
      </c>
      <c r="F131" s="5">
        <v>5.68</v>
      </c>
      <c r="G131" s="5">
        <v>4.53</v>
      </c>
      <c r="H131" s="5">
        <v>3.94</v>
      </c>
      <c r="J131" s="5" t="s">
        <v>412</v>
      </c>
      <c r="K131" s="11">
        <f>+ROUND(LN(B131/B132),6)</f>
        <v>-3.7642000000000002E-2</v>
      </c>
      <c r="L131" s="11">
        <f>+ROUND(LN(C131/C132),6)</f>
        <v>-5.7986999999999997E-2</v>
      </c>
      <c r="M131" s="11">
        <f>+ROUND(LN(D131/D132),6)</f>
        <v>0</v>
      </c>
      <c r="N131" s="11">
        <f>+ROUND(LN(E131/E132),6)</f>
        <v>-3.8614999999999997E-2</v>
      </c>
      <c r="O131" s="11">
        <f>+ROUND(LN(F131/F132),6)</f>
        <v>-2.7779999999999999E-2</v>
      </c>
      <c r="P131" s="11">
        <f>+ROUND(LN(G131/G132),6)</f>
        <v>-3.0436999999999999E-2</v>
      </c>
      <c r="Q131" s="11">
        <f>+ROUND(LN(H131/H132),6)</f>
        <v>-4.7097E-2</v>
      </c>
      <c r="R131" s="3"/>
      <c r="T131" s="5" t="s">
        <v>130</v>
      </c>
      <c r="U131" s="15">
        <f>+ROUND(B$3*EXP(K131),6)</f>
        <v>7.3192380000000004</v>
      </c>
      <c r="V131" s="15">
        <f>+ROUND(C$3*EXP(L131),6)</f>
        <v>8.8232420000000005</v>
      </c>
      <c r="W131" s="15">
        <f>+ROUND(D$3*EXP(M131),6)</f>
        <v>2.77</v>
      </c>
      <c r="X131" s="15">
        <f>+ROUND(E$3*EXP(N131),6)</f>
        <v>1.106439</v>
      </c>
      <c r="Y131" s="15">
        <f>+ROUND(F$3*EXP(O131),6)</f>
        <v>4.8435600000000001</v>
      </c>
      <c r="Z131" s="15">
        <f>+ROUND(G$3*EXP(P131),6)</f>
        <v>4.2001929999999996</v>
      </c>
      <c r="AA131" s="15">
        <f>+ROUND(H$3*EXP(Q131),6)</f>
        <v>3.2626620000000002</v>
      </c>
      <c r="AB131" s="1">
        <v>129</v>
      </c>
      <c r="AC131" s="5" t="s">
        <v>130</v>
      </c>
      <c r="AD131" s="16">
        <f>+ROUND(Pozisyon!$U$4*('Data - Simülasyon- P&amp;L'!U131-'Data - Simülasyon- P&amp;L'!B$3),6)</f>
        <v>-40429.728000000003</v>
      </c>
      <c r="AE131" s="16">
        <f>+ROUND(Pozisyon!$U$5*('Data - Simülasyon- P&amp;L'!V131-'Data - Simülasyon- P&amp;L'!C$3),6)</f>
        <v>-13168.95</v>
      </c>
      <c r="AF131" s="16">
        <f>+ROUND(Pozisyon!$U$6*('Data - Simülasyon- P&amp;L'!W131-'Data - Simülasyon- P&amp;L'!D$3),6)</f>
        <v>0</v>
      </c>
      <c r="AG131" s="16">
        <f>+ROUND(Pozisyon!$U$7*('Data - Simülasyon- P&amp;L'!X131-'Data - Simülasyon- P&amp;L'!E$3),6)</f>
        <v>-15377.032999999999</v>
      </c>
      <c r="AH131" s="16">
        <f>+ROUND(Pozisyon!$U$8*('Data - Simülasyon- P&amp;L'!Y131-'Data - Simülasyon- P&amp;L'!F$3),6)</f>
        <v>-29198.16</v>
      </c>
      <c r="AI131" s="16">
        <f>+ROUND(Pozisyon!$U$9*('Data - Simülasyon- P&amp;L'!Z131-'Data - Simülasyon- P&amp;L'!G$3),6)</f>
        <v>-39071.906999999999</v>
      </c>
      <c r="AJ131" s="16">
        <f>+ROUND(Pozisyon!$U$10*('Data - Simülasyon- P&amp;L'!AA131-'Data - Simülasyon- P&amp;L'!H$3),6)</f>
        <v>-55225.637999999999</v>
      </c>
      <c r="AK131" s="16">
        <f>+SUM(AD131:AJ131)</f>
        <v>-192471.416</v>
      </c>
      <c r="AL131" s="16">
        <f>+SMALL($AK$3:$AK$254,AB131)</f>
        <v>7331.3660000000018</v>
      </c>
    </row>
    <row r="132" spans="1:38" ht="15" thickBot="1" x14ac:dyDescent="0.35">
      <c r="A132" s="5" t="s">
        <v>413</v>
      </c>
      <c r="B132" s="6">
        <v>7.85</v>
      </c>
      <c r="C132" s="5">
        <v>9.23</v>
      </c>
      <c r="D132" s="6">
        <v>3.9</v>
      </c>
      <c r="E132" s="5">
        <v>1.32</v>
      </c>
      <c r="F132" s="5">
        <v>5.84</v>
      </c>
      <c r="G132" s="5">
        <v>4.67</v>
      </c>
      <c r="H132" s="5">
        <v>4.13</v>
      </c>
      <c r="J132" s="5" t="s">
        <v>413</v>
      </c>
      <c r="K132" s="11">
        <f>+ROUND(LN(B132/B133),6)</f>
        <v>8.9569999999999997E-3</v>
      </c>
      <c r="L132" s="11">
        <f>+ROUND(LN(C132/C133),6)</f>
        <v>1.3086E-2</v>
      </c>
      <c r="M132" s="11">
        <f>+ROUND(LN(D132/D133),6)</f>
        <v>2.5669999999999998E-3</v>
      </c>
      <c r="N132" s="11">
        <f>+ROUND(LN(E132/E133),6)</f>
        <v>0</v>
      </c>
      <c r="O132" s="11">
        <f>+ROUND(LN(F132/F133),6)</f>
        <v>0</v>
      </c>
      <c r="P132" s="11">
        <f>+ROUND(LN(G132/G133),6)</f>
        <v>1.7278999999999999E-2</v>
      </c>
      <c r="Q132" s="11">
        <f>+ROUND(LN(H132/H133),6)</f>
        <v>-9.639E-3</v>
      </c>
      <c r="R132" s="3"/>
      <c r="T132" s="5" t="s">
        <v>131</v>
      </c>
      <c r="U132" s="15">
        <f>+ROUND(B$3*EXP(K132),6)</f>
        <v>7.6683789999999998</v>
      </c>
      <c r="V132" s="15">
        <f>+ROUND(C$3*EXP(L132),6)</f>
        <v>9.4731579999999997</v>
      </c>
      <c r="W132" s="15">
        <f>+ROUND(D$3*EXP(M132),6)</f>
        <v>2.77712</v>
      </c>
      <c r="X132" s="15">
        <f>+ROUND(E$3*EXP(N132),6)</f>
        <v>1.1499999999999999</v>
      </c>
      <c r="Y132" s="15">
        <f>+ROUND(F$3*EXP(O132),6)</f>
        <v>4.9800000000000004</v>
      </c>
      <c r="Z132" s="15">
        <f>+ROUND(G$3*EXP(P132),6)</f>
        <v>4.4054679999999999</v>
      </c>
      <c r="AA132" s="15">
        <f>+ROUND(H$3*EXP(Q132),6)</f>
        <v>3.3871929999999999</v>
      </c>
      <c r="AB132" s="1">
        <v>130</v>
      </c>
      <c r="AC132" s="5" t="s">
        <v>131</v>
      </c>
      <c r="AD132" s="16">
        <f>+ROUND(Pozisyon!$U$4*('Data - Simülasyon- P&amp;L'!U132-'Data - Simülasyon- P&amp;L'!B$3),6)</f>
        <v>9846.5759999999991</v>
      </c>
      <c r="AE132" s="16">
        <f>+ROUND(Pozisyon!$U$5*('Data - Simülasyon- P&amp;L'!V132-'Data - Simülasyon- P&amp;L'!C$3),6)</f>
        <v>3078.95</v>
      </c>
      <c r="AF132" s="16">
        <f>+ROUND(Pozisyon!$U$6*('Data - Simülasyon- P&amp;L'!W132-'Data - Simülasyon- P&amp;L'!D$3),6)</f>
        <v>133.5</v>
      </c>
      <c r="AG132" s="16">
        <f>+ROUND(Pozisyon!$U$7*('Data - Simülasyon- P&amp;L'!X132-'Data - Simülasyon- P&amp;L'!E$3),6)</f>
        <v>0</v>
      </c>
      <c r="AH132" s="16">
        <f>+ROUND(Pozisyon!$U$8*('Data - Simülasyon- P&amp;L'!Y132-'Data - Simülasyon- P&amp;L'!F$3),6)</f>
        <v>0</v>
      </c>
      <c r="AI132" s="16">
        <f>+ROUND(Pozisyon!$U$9*('Data - Simülasyon- P&amp;L'!Z132-'Data - Simülasyon- P&amp;L'!G$3),6)</f>
        <v>22715.867999999999</v>
      </c>
      <c r="AJ132" s="16">
        <f>+ROUND(Pozisyon!$U$10*('Data - Simülasyon- P&amp;L'!AA132-'Data - Simülasyon- P&amp;L'!H$3),6)</f>
        <v>-11515.257</v>
      </c>
      <c r="AK132" s="16">
        <f>+SUM(AD132:AJ132)</f>
        <v>24259.637000000002</v>
      </c>
      <c r="AL132" s="16">
        <f>+SMALL($AK$3:$AK$254,AB132)</f>
        <v>7488.3689999999988</v>
      </c>
    </row>
    <row r="133" spans="1:38" ht="15" thickBot="1" x14ac:dyDescent="0.35">
      <c r="A133" s="5" t="s">
        <v>414</v>
      </c>
      <c r="B133" s="6">
        <v>7.78</v>
      </c>
      <c r="C133" s="5">
        <v>9.11</v>
      </c>
      <c r="D133" s="6">
        <v>3.89</v>
      </c>
      <c r="E133" s="5">
        <v>1.32</v>
      </c>
      <c r="F133" s="5">
        <v>5.84</v>
      </c>
      <c r="G133" s="5">
        <v>4.59</v>
      </c>
      <c r="H133" s="5">
        <v>4.17</v>
      </c>
      <c r="J133" s="5" t="s">
        <v>414</v>
      </c>
      <c r="K133" s="11">
        <f>+ROUND(LN(B133/B134),6)</f>
        <v>2.5739999999999999E-3</v>
      </c>
      <c r="L133" s="11">
        <f>+ROUND(LN(C133/C134),6)</f>
        <v>-2.1930000000000001E-3</v>
      </c>
      <c r="M133" s="11">
        <f>+ROUND(LN(D133/D134),6)</f>
        <v>-2.5669999999999998E-3</v>
      </c>
      <c r="N133" s="11">
        <f>+ROUND(LN(E133/E134),6)</f>
        <v>1.5266999999999999E-2</v>
      </c>
      <c r="O133" s="11">
        <f>+ROUND(LN(F133/F134),6)</f>
        <v>-1.6978E-2</v>
      </c>
      <c r="P133" s="11">
        <f>+ROUND(LN(G133/G134),6)</f>
        <v>-1.5134999999999999E-2</v>
      </c>
      <c r="Q133" s="11">
        <f>+ROUND(LN(H133/H134),6)</f>
        <v>-1.6646999999999999E-2</v>
      </c>
      <c r="R133" s="3"/>
      <c r="T133" s="5" t="s">
        <v>132</v>
      </c>
      <c r="U133" s="15">
        <f>+ROUND(B$3*EXP(K133),6)</f>
        <v>7.6195880000000002</v>
      </c>
      <c r="V133" s="15">
        <f>+ROUND(C$3*EXP(L133),6)</f>
        <v>9.3295180000000002</v>
      </c>
      <c r="W133" s="15">
        <f>+ROUND(D$3*EXP(M133),6)</f>
        <v>2.762899</v>
      </c>
      <c r="X133" s="15">
        <f>+ROUND(E$3*EXP(N133),6)</f>
        <v>1.167692</v>
      </c>
      <c r="Y133" s="15">
        <f>+ROUND(F$3*EXP(O133),6)</f>
        <v>4.8961629999999996</v>
      </c>
      <c r="Z133" s="15">
        <f>+ROUND(G$3*EXP(P133),6)</f>
        <v>4.2649590000000002</v>
      </c>
      <c r="AA133" s="15">
        <f>+ROUND(H$3*EXP(Q133),6)</f>
        <v>3.3635389999999998</v>
      </c>
      <c r="AB133" s="1">
        <v>131</v>
      </c>
      <c r="AC133" s="5" t="s">
        <v>132</v>
      </c>
      <c r="AD133" s="16">
        <f>+ROUND(Pozisyon!$U$4*('Data - Simülasyon- P&amp;L'!U133-'Data - Simülasyon- P&amp;L'!B$3),6)</f>
        <v>2820.672</v>
      </c>
      <c r="AE133" s="16">
        <f>+ROUND(Pozisyon!$U$5*('Data - Simülasyon- P&amp;L'!V133-'Data - Simülasyon- P&amp;L'!C$3),6)</f>
        <v>-512.04999999999995</v>
      </c>
      <c r="AF133" s="16">
        <f>+ROUND(Pozisyon!$U$6*('Data - Simülasyon- P&amp;L'!W133-'Data - Simülasyon- P&amp;L'!D$3),6)</f>
        <v>-133.14375000000001</v>
      </c>
      <c r="AG133" s="16">
        <f>+ROUND(Pozisyon!$U$7*('Data - Simülasyon- P&amp;L'!X133-'Data - Simülasyon- P&amp;L'!E$3),6)</f>
        <v>6245.2759999999998</v>
      </c>
      <c r="AH133" s="16">
        <f>+ROUND(Pozisyon!$U$8*('Data - Simülasyon- P&amp;L'!Y133-'Data - Simülasyon- P&amp;L'!F$3),6)</f>
        <v>-17941.117999999999</v>
      </c>
      <c r="AI133" s="16">
        <f>+ROUND(Pozisyon!$U$9*('Data - Simülasyon- P&amp;L'!Z133-'Data - Simülasyon- P&amp;L'!G$3),6)</f>
        <v>-19577.341</v>
      </c>
      <c r="AJ133" s="16">
        <f>+ROUND(Pozisyon!$U$10*('Data - Simülasyon- P&amp;L'!AA133-'Data - Simülasyon- P&amp;L'!H$3),6)</f>
        <v>-19817.811000000002</v>
      </c>
      <c r="AK133" s="16">
        <f>+SUM(AD133:AJ133)</f>
        <v>-48915.515749999999</v>
      </c>
      <c r="AL133" s="16">
        <f>+SMALL($AK$3:$AK$254,AB133)</f>
        <v>8563.2012500000001</v>
      </c>
    </row>
    <row r="134" spans="1:38" ht="15" thickBot="1" x14ac:dyDescent="0.35">
      <c r="A134" s="5" t="s">
        <v>415</v>
      </c>
      <c r="B134" s="6">
        <v>7.76</v>
      </c>
      <c r="C134" s="5">
        <v>9.1300000000000008</v>
      </c>
      <c r="D134" s="6">
        <v>3.9</v>
      </c>
      <c r="E134" s="5">
        <v>1.3</v>
      </c>
      <c r="F134" s="5">
        <v>5.94</v>
      </c>
      <c r="G134" s="5">
        <v>4.66</v>
      </c>
      <c r="H134" s="5">
        <v>4.24</v>
      </c>
      <c r="J134" s="5" t="s">
        <v>415</v>
      </c>
      <c r="K134" s="11">
        <f>+ROUND(LN(B134/B135),6)</f>
        <v>7.7619999999999998E-3</v>
      </c>
      <c r="L134" s="11">
        <f>+ROUND(LN(C134/C135),6)</f>
        <v>4.2512000000000001E-2</v>
      </c>
      <c r="M134" s="11">
        <f>+ROUND(LN(D134/D135),6)</f>
        <v>-7.6629999999999997E-3</v>
      </c>
      <c r="N134" s="11">
        <f>+ROUND(LN(E134/E135),6)</f>
        <v>-7.6629999999999997E-3</v>
      </c>
      <c r="O134" s="11">
        <f>+ROUND(LN(F134/F135),6)</f>
        <v>3.0772000000000001E-2</v>
      </c>
      <c r="P134" s="11">
        <f>+ROUND(LN(G134/G135),6)</f>
        <v>6.4590000000000003E-3</v>
      </c>
      <c r="Q134" s="11">
        <f>+ROUND(LN(H134/H135),6)</f>
        <v>0</v>
      </c>
      <c r="R134" s="3"/>
      <c r="T134" s="5" t="s">
        <v>133</v>
      </c>
      <c r="U134" s="15">
        <f>+ROUND(B$3*EXP(K134),6)</f>
        <v>7.6592209999999996</v>
      </c>
      <c r="V134" s="15">
        <f>+ROUND(C$3*EXP(L134),6)</f>
        <v>9.7560570000000002</v>
      </c>
      <c r="W134" s="15">
        <f>+ROUND(D$3*EXP(M134),6)</f>
        <v>2.7488549999999998</v>
      </c>
      <c r="X134" s="15">
        <f>+ROUND(E$3*EXP(N134),6)</f>
        <v>1.141221</v>
      </c>
      <c r="Y134" s="15">
        <f>+ROUND(F$3*EXP(O134),6)</f>
        <v>5.1356270000000004</v>
      </c>
      <c r="Z134" s="15">
        <f>+ROUND(G$3*EXP(P134),6)</f>
        <v>4.3580579999999998</v>
      </c>
      <c r="AA134" s="15">
        <f>+ROUND(H$3*EXP(Q134),6)</f>
        <v>3.42</v>
      </c>
      <c r="AB134" s="1">
        <v>132</v>
      </c>
      <c r="AC134" s="5" t="s">
        <v>133</v>
      </c>
      <c r="AD134" s="16">
        <f>+ROUND(Pozisyon!$U$4*('Data - Simülasyon- P&amp;L'!U134-'Data - Simülasyon- P&amp;L'!B$3),6)</f>
        <v>8527.8240000000005</v>
      </c>
      <c r="AE134" s="16">
        <f>+ROUND(Pozisyon!$U$5*('Data - Simülasyon- P&amp;L'!V134-'Data - Simülasyon- P&amp;L'!C$3),6)</f>
        <v>10151.424999999999</v>
      </c>
      <c r="AF134" s="16">
        <f>+ROUND(Pozisyon!$U$6*('Data - Simülasyon- P&amp;L'!W134-'Data - Simülasyon- P&amp;L'!D$3),6)</f>
        <v>-396.46875</v>
      </c>
      <c r="AG134" s="16">
        <f>+ROUND(Pozisyon!$U$7*('Data - Simülasyon- P&amp;L'!X134-'Data - Simülasyon- P&amp;L'!E$3),6)</f>
        <v>-3098.9870000000001</v>
      </c>
      <c r="AH134" s="16">
        <f>+ROUND(Pozisyon!$U$8*('Data - Simülasyon- P&amp;L'!Y134-'Data - Simülasyon- P&amp;L'!F$3),6)</f>
        <v>33304.178</v>
      </c>
      <c r="AI134" s="16">
        <f>+ROUND(Pozisyon!$U$9*('Data - Simülasyon- P&amp;L'!Z134-'Data - Simülasyon- P&amp;L'!G$3),6)</f>
        <v>8445.4580000000005</v>
      </c>
      <c r="AJ134" s="16">
        <f>+ROUND(Pozisyon!$U$10*('Data - Simülasyon- P&amp;L'!AA134-'Data - Simülasyon- P&amp;L'!H$3),6)</f>
        <v>0</v>
      </c>
      <c r="AK134" s="16">
        <f>+SUM(AD134:AJ134)</f>
        <v>56933.429250000001</v>
      </c>
      <c r="AL134" s="16">
        <f>+SMALL($AK$3:$AK$254,AB134)</f>
        <v>9131.4904999999999</v>
      </c>
    </row>
    <row r="135" spans="1:38" ht="15" thickBot="1" x14ac:dyDescent="0.35">
      <c r="A135" s="5" t="s">
        <v>416</v>
      </c>
      <c r="B135" s="6">
        <v>7.7</v>
      </c>
      <c r="C135" s="5">
        <v>8.75</v>
      </c>
      <c r="D135" s="6">
        <v>3.93</v>
      </c>
      <c r="E135" s="5">
        <v>1.31</v>
      </c>
      <c r="F135" s="5">
        <v>5.76</v>
      </c>
      <c r="G135" s="5">
        <v>4.63</v>
      </c>
      <c r="H135" s="5">
        <v>4.24</v>
      </c>
      <c r="J135" s="5" t="s">
        <v>416</v>
      </c>
      <c r="K135" s="11">
        <f>+ROUND(LN(B135/B136),6)</f>
        <v>2.6317E-2</v>
      </c>
      <c r="L135" s="11">
        <f>+ROUND(LN(C135/C136),6)</f>
        <v>2.1954000000000001E-2</v>
      </c>
      <c r="M135" s="11">
        <f>+ROUND(LN(D135/D136),6)</f>
        <v>-5.0759999999999998E-3</v>
      </c>
      <c r="N135" s="11">
        <f>+ROUND(LN(E135/E136),6)</f>
        <v>1.5384999999999999E-2</v>
      </c>
      <c r="O135" s="11">
        <f>+ROUND(LN(F135/F136),6)</f>
        <v>6.9690000000000004E-3</v>
      </c>
      <c r="P135" s="11">
        <f>+ROUND(LN(G135/G136),6)</f>
        <v>2.6259999999999999E-2</v>
      </c>
      <c r="Q135" s="11">
        <f>+ROUND(LN(H135/H136),6)</f>
        <v>2.1454999999999998E-2</v>
      </c>
      <c r="R135" s="3"/>
      <c r="T135" s="5" t="s">
        <v>134</v>
      </c>
      <c r="U135" s="15">
        <f>+ROUND(B$3*EXP(K135),6)</f>
        <v>7.802664</v>
      </c>
      <c r="V135" s="15">
        <f>+ROUND(C$3*EXP(L135),6)</f>
        <v>9.5575399999999995</v>
      </c>
      <c r="W135" s="15">
        <f>+ROUND(D$3*EXP(M135),6)</f>
        <v>2.7559749999999998</v>
      </c>
      <c r="X135" s="15">
        <f>+ROUND(E$3*EXP(N135),6)</f>
        <v>1.1678299999999999</v>
      </c>
      <c r="Y135" s="15">
        <f>+ROUND(F$3*EXP(O135),6)</f>
        <v>5.0148270000000004</v>
      </c>
      <c r="Z135" s="15">
        <f>+ROUND(G$3*EXP(P135),6)</f>
        <v>4.4452119999999997</v>
      </c>
      <c r="AA135" s="15">
        <f>+ROUND(H$3*EXP(Q135),6)</f>
        <v>3.4941689999999999</v>
      </c>
      <c r="AB135" s="1">
        <v>133</v>
      </c>
      <c r="AC135" s="5" t="s">
        <v>134</v>
      </c>
      <c r="AD135" s="16">
        <f>+ROUND(Pozisyon!$U$4*('Data - Simülasyon- P&amp;L'!U135-'Data - Simülasyon- P&amp;L'!B$3),6)</f>
        <v>29183.616000000002</v>
      </c>
      <c r="AE135" s="16">
        <f>+ROUND(Pozisyon!$U$5*('Data - Simülasyon- P&amp;L'!V135-'Data - Simülasyon- P&amp;L'!C$3),6)</f>
        <v>5188.5</v>
      </c>
      <c r="AF135" s="16">
        <f>+ROUND(Pozisyon!$U$6*('Data - Simülasyon- P&amp;L'!W135-'Data - Simülasyon- P&amp;L'!D$3),6)</f>
        <v>-262.96875</v>
      </c>
      <c r="AG135" s="16">
        <f>+ROUND(Pozisyon!$U$7*('Data - Simülasyon- P&amp;L'!X135-'Data - Simülasyon- P&amp;L'!E$3),6)</f>
        <v>6293.99</v>
      </c>
      <c r="AH135" s="16">
        <f>+ROUND(Pozisyon!$U$8*('Data - Simülasyon- P&amp;L'!Y135-'Data - Simülasyon- P&amp;L'!F$3),6)</f>
        <v>7452.9780000000001</v>
      </c>
      <c r="AI135" s="16">
        <f>+ROUND(Pozisyon!$U$9*('Data - Simülasyon- P&amp;L'!Z135-'Data - Simülasyon- P&amp;L'!G$3),6)</f>
        <v>34678.811999999998</v>
      </c>
      <c r="AJ135" s="16">
        <f>+ROUND(Pozisyon!$U$10*('Data - Simülasyon- P&amp;L'!AA135-'Data - Simülasyon- P&amp;L'!H$3),6)</f>
        <v>26033.319</v>
      </c>
      <c r="AK135" s="16">
        <f>+SUM(AD135:AJ135)</f>
        <v>108568.24625000001</v>
      </c>
      <c r="AL135" s="16">
        <f>+SMALL($AK$3:$AK$254,AB135)</f>
        <v>9711.4239999999991</v>
      </c>
    </row>
    <row r="136" spans="1:38" ht="15" thickBot="1" x14ac:dyDescent="0.35">
      <c r="A136" s="5" t="s">
        <v>417</v>
      </c>
      <c r="B136" s="6">
        <v>7.5</v>
      </c>
      <c r="C136" s="5">
        <v>8.56</v>
      </c>
      <c r="D136" s="6">
        <v>3.95</v>
      </c>
      <c r="E136" s="5">
        <v>1.29</v>
      </c>
      <c r="F136" s="5">
        <v>5.72</v>
      </c>
      <c r="G136" s="5">
        <v>4.51</v>
      </c>
      <c r="H136" s="5">
        <v>4.1500000000000004</v>
      </c>
      <c r="J136" s="5" t="s">
        <v>417</v>
      </c>
      <c r="K136" s="11">
        <f>+ROUND(LN(B136/B137),6)</f>
        <v>5.3480000000000003E-3</v>
      </c>
      <c r="L136" s="11">
        <f>+ROUND(LN(C136/C137),6)</f>
        <v>3.5109999999999998E-3</v>
      </c>
      <c r="M136" s="11">
        <f>+ROUND(LN(D136/D137),6)</f>
        <v>-3.2381E-2</v>
      </c>
      <c r="N136" s="11">
        <f>+ROUND(LN(E136/E137),6)</f>
        <v>7.7819999999999999E-3</v>
      </c>
      <c r="O136" s="11">
        <f>+ROUND(LN(F136/F137),6)</f>
        <v>-3.49E-3</v>
      </c>
      <c r="P136" s="11">
        <f>+ROUND(LN(G136/G137),6)</f>
        <v>1.3393E-2</v>
      </c>
      <c r="Q136" s="11">
        <f>+ROUND(LN(H136/H137),6)</f>
        <v>2.1925E-2</v>
      </c>
      <c r="R136" s="3"/>
      <c r="T136" s="5" t="s">
        <v>135</v>
      </c>
      <c r="U136" s="15">
        <f>+ROUND(B$3*EXP(K136),6)</f>
        <v>7.6407540000000003</v>
      </c>
      <c r="V136" s="15">
        <f>+ROUND(C$3*EXP(L136),6)</f>
        <v>9.3828859999999992</v>
      </c>
      <c r="W136" s="15">
        <f>+ROUND(D$3*EXP(M136),6)</f>
        <v>2.6817410000000002</v>
      </c>
      <c r="X136" s="15">
        <f>+ROUND(E$3*EXP(N136),6)</f>
        <v>1.158984</v>
      </c>
      <c r="Y136" s="15">
        <f>+ROUND(F$3*EXP(O136),6)</f>
        <v>4.96265</v>
      </c>
      <c r="Z136" s="15">
        <f>+ROUND(G$3*EXP(P136),6)</f>
        <v>4.388382</v>
      </c>
      <c r="AA136" s="15">
        <f>+ROUND(H$3*EXP(Q136),6)</f>
        <v>3.4958119999999999</v>
      </c>
      <c r="AB136" s="1">
        <v>134</v>
      </c>
      <c r="AC136" s="5" t="s">
        <v>135</v>
      </c>
      <c r="AD136" s="16">
        <f>+ROUND(Pozisyon!$U$4*('Data - Simülasyon- P&amp;L'!U136-'Data - Simülasyon- P&amp;L'!B$3),6)</f>
        <v>5868.576</v>
      </c>
      <c r="AE136" s="16">
        <f>+ROUND(Pozisyon!$U$5*('Data - Simülasyon- P&amp;L'!V136-'Data - Simülasyon- P&amp;L'!C$3),6)</f>
        <v>822.15</v>
      </c>
      <c r="AF136" s="16">
        <f>+ROUND(Pozisyon!$U$6*('Data - Simülasyon- P&amp;L'!W136-'Data - Simülasyon- P&amp;L'!D$3),6)</f>
        <v>-1654.85625</v>
      </c>
      <c r="AG136" s="16">
        <f>+ROUND(Pozisyon!$U$7*('Data - Simülasyon- P&amp;L'!X136-'Data - Simülasyon- P&amp;L'!E$3),6)</f>
        <v>3171.3519999999999</v>
      </c>
      <c r="AH136" s="16">
        <f>+ROUND(Pozisyon!$U$8*('Data - Simülasyon- P&amp;L'!Y136-'Data - Simülasyon- P&amp;L'!F$3),6)</f>
        <v>-3712.9</v>
      </c>
      <c r="AI136" s="16">
        <f>+ROUND(Pozisyon!$U$9*('Data - Simülasyon- P&amp;L'!Z136-'Data - Simülasyon- P&amp;L'!G$3),6)</f>
        <v>17572.982</v>
      </c>
      <c r="AJ136" s="16">
        <f>+ROUND(Pozisyon!$U$10*('Data - Simülasyon- P&amp;L'!AA136-'Data - Simülasyon- P&amp;L'!H$3),6)</f>
        <v>26610.011999999999</v>
      </c>
      <c r="AK136" s="16">
        <f>+SUM(AD136:AJ136)</f>
        <v>48677.315749999994</v>
      </c>
      <c r="AL136" s="16">
        <f>+SMALL($AK$3:$AK$254,AB136)</f>
        <v>11332.455999999996</v>
      </c>
    </row>
    <row r="137" spans="1:38" ht="15" thickBot="1" x14ac:dyDescent="0.35">
      <c r="A137" s="5" t="s">
        <v>418</v>
      </c>
      <c r="B137" s="6">
        <v>7.46</v>
      </c>
      <c r="C137" s="5">
        <v>8.5299999999999994</v>
      </c>
      <c r="D137" s="6">
        <v>4.08</v>
      </c>
      <c r="E137" s="5">
        <v>1.28</v>
      </c>
      <c r="F137" s="5">
        <v>5.74</v>
      </c>
      <c r="G137" s="5">
        <v>4.45</v>
      </c>
      <c r="H137" s="5">
        <v>4.0599999999999996</v>
      </c>
      <c r="J137" s="5" t="s">
        <v>418</v>
      </c>
      <c r="K137" s="11">
        <f>+ROUND(LN(B137/B138),6)</f>
        <v>-1.0666999999999999E-2</v>
      </c>
      <c r="L137" s="11">
        <f>+ROUND(LN(C137/C138),6)</f>
        <v>-2.0882000000000001E-2</v>
      </c>
      <c r="M137" s="11">
        <f>+ROUND(LN(D137/D138),6)</f>
        <v>3.7457999999999998E-2</v>
      </c>
      <c r="N137" s="11">
        <f>+ROUND(LN(E137/E138),6)</f>
        <v>0</v>
      </c>
      <c r="O137" s="11">
        <f>+ROUND(LN(F137/F138),6)</f>
        <v>-1.8981999999999999E-2</v>
      </c>
      <c r="P137" s="11">
        <f>+ROUND(LN(G137/G138),6)</f>
        <v>-1.5608E-2</v>
      </c>
      <c r="Q137" s="11">
        <f>+ROUND(LN(H137/H138),6)</f>
        <v>-1.2239999999999999E-2</v>
      </c>
      <c r="R137" s="3"/>
      <c r="T137" s="5" t="s">
        <v>136</v>
      </c>
      <c r="U137" s="15">
        <f>+ROUND(B$3*EXP(K137),6)</f>
        <v>7.5193620000000001</v>
      </c>
      <c r="V137" s="15">
        <f>+ROUND(C$3*EXP(L137),6)</f>
        <v>9.1567779999999992</v>
      </c>
      <c r="W137" s="15">
        <f>+ROUND(D$3*EXP(M137),6)</f>
        <v>2.8757259999999998</v>
      </c>
      <c r="X137" s="15">
        <f>+ROUND(E$3*EXP(N137),6)</f>
        <v>1.1499999999999999</v>
      </c>
      <c r="Y137" s="15">
        <f>+ROUND(F$3*EXP(O137),6)</f>
        <v>4.886361</v>
      </c>
      <c r="Z137" s="15">
        <f>+ROUND(G$3*EXP(P137),6)</f>
        <v>4.2629419999999998</v>
      </c>
      <c r="AA137" s="15">
        <f>+ROUND(H$3*EXP(Q137),6)</f>
        <v>3.3783940000000001</v>
      </c>
      <c r="AB137" s="1">
        <v>135</v>
      </c>
      <c r="AC137" s="5" t="s">
        <v>136</v>
      </c>
      <c r="AD137" s="16">
        <f>+ROUND(Pozisyon!$U$4*('Data - Simülasyon- P&amp;L'!U137-'Data - Simülasyon- P&amp;L'!B$3),6)</f>
        <v>-11611.871999999999</v>
      </c>
      <c r="AE137" s="16">
        <f>+ROUND(Pozisyon!$U$5*('Data - Simülasyon- P&amp;L'!V137-'Data - Simülasyon- P&amp;L'!C$3),6)</f>
        <v>-4830.55</v>
      </c>
      <c r="AF137" s="16">
        <f>+ROUND(Pozisyon!$U$6*('Data - Simülasyon- P&amp;L'!W137-'Data - Simülasyon- P&amp;L'!D$3),6)</f>
        <v>1982.3625</v>
      </c>
      <c r="AG137" s="16">
        <f>+ROUND(Pozisyon!$U$7*('Data - Simülasyon- P&amp;L'!X137-'Data - Simülasyon- P&amp;L'!E$3),6)</f>
        <v>0</v>
      </c>
      <c r="AH137" s="16">
        <f>+ROUND(Pozisyon!$U$8*('Data - Simülasyon- P&amp;L'!Y137-'Data - Simülasyon- P&amp;L'!F$3),6)</f>
        <v>-20038.745999999999</v>
      </c>
      <c r="AI137" s="16">
        <f>+ROUND(Pozisyon!$U$9*('Data - Simülasyon- P&amp;L'!Z137-'Data - Simülasyon- P&amp;L'!G$3),6)</f>
        <v>-20184.457999999999</v>
      </c>
      <c r="AJ137" s="16">
        <f>+ROUND(Pozisyon!$U$10*('Data - Simülasyon- P&amp;L'!AA137-'Data - Simülasyon- P&amp;L'!H$3),6)</f>
        <v>-14603.706</v>
      </c>
      <c r="AK137" s="16">
        <f>+SUM(AD137:AJ137)</f>
        <v>-69286.969500000007</v>
      </c>
      <c r="AL137" s="16">
        <f>+SMALL($AK$3:$AK$254,AB137)</f>
        <v>11436.75575</v>
      </c>
    </row>
    <row r="138" spans="1:38" ht="15" thickBot="1" x14ac:dyDescent="0.35">
      <c r="A138" s="5" t="s">
        <v>419</v>
      </c>
      <c r="B138" s="6">
        <v>7.54</v>
      </c>
      <c r="C138" s="5">
        <v>8.7100000000000009</v>
      </c>
      <c r="D138" s="6">
        <v>3.93</v>
      </c>
      <c r="E138" s="5">
        <v>1.28</v>
      </c>
      <c r="F138" s="5">
        <v>5.85</v>
      </c>
      <c r="G138" s="5">
        <v>4.5199999999999996</v>
      </c>
      <c r="H138" s="5">
        <v>4.1100000000000003</v>
      </c>
      <c r="J138" s="5" t="s">
        <v>419</v>
      </c>
      <c r="K138" s="11">
        <f>+ROUND(LN(B138/B139),6)</f>
        <v>1.2008E-2</v>
      </c>
      <c r="L138" s="11">
        <f>+ROUND(LN(C138/C139),6)</f>
        <v>1.1490000000000001E-3</v>
      </c>
      <c r="M138" s="11">
        <f>+ROUND(LN(D138/D139),6)</f>
        <v>7.6629999999999997E-3</v>
      </c>
      <c r="N138" s="11">
        <f>+ROUND(LN(E138/E139),6)</f>
        <v>7.8429999999999993E-3</v>
      </c>
      <c r="O138" s="11">
        <f>+ROUND(LN(F138/F139),6)</f>
        <v>0</v>
      </c>
      <c r="P138" s="11">
        <f>+ROUND(LN(G138/G139),6)</f>
        <v>2.215E-3</v>
      </c>
      <c r="Q138" s="11">
        <f>+ROUND(LN(H138/H139),6)</f>
        <v>9.7800000000000005E-3</v>
      </c>
      <c r="R138" s="3"/>
      <c r="T138" s="5" t="s">
        <v>137</v>
      </c>
      <c r="U138" s="15">
        <f>+ROUND(B$3*EXP(K138),6)</f>
        <v>7.6918110000000004</v>
      </c>
      <c r="V138" s="15">
        <f>+ROUND(C$3*EXP(L138),6)</f>
        <v>9.3607490000000002</v>
      </c>
      <c r="W138" s="15">
        <f>+ROUND(D$3*EXP(M138),6)</f>
        <v>2.7913079999999999</v>
      </c>
      <c r="X138" s="15">
        <f>+ROUND(E$3*EXP(N138),6)</f>
        <v>1.1590549999999999</v>
      </c>
      <c r="Y138" s="15">
        <f>+ROUND(F$3*EXP(O138),6)</f>
        <v>4.9800000000000004</v>
      </c>
      <c r="Z138" s="15">
        <f>+ROUND(G$3*EXP(P138),6)</f>
        <v>4.3396020000000002</v>
      </c>
      <c r="AA138" s="15">
        <f>+ROUND(H$3*EXP(Q138),6)</f>
        <v>3.4536120000000001</v>
      </c>
      <c r="AB138" s="1">
        <v>136</v>
      </c>
      <c r="AC138" s="5" t="s">
        <v>137</v>
      </c>
      <c r="AD138" s="16">
        <f>+ROUND(Pozisyon!$U$4*('Data - Simülasyon- P&amp;L'!U138-'Data - Simülasyon- P&amp;L'!B$3),6)</f>
        <v>13220.784</v>
      </c>
      <c r="AE138" s="16">
        <f>+ROUND(Pozisyon!$U$5*('Data - Simülasyon- P&amp;L'!V138-'Data - Simülasyon- P&amp;L'!C$3),6)</f>
        <v>268.72500000000002</v>
      </c>
      <c r="AF138" s="16">
        <f>+ROUND(Pozisyon!$U$6*('Data - Simülasyon- P&amp;L'!W138-'Data - Simülasyon- P&amp;L'!D$3),6)</f>
        <v>399.52499999999998</v>
      </c>
      <c r="AG138" s="16">
        <f>+ROUND(Pozisyon!$U$7*('Data - Simülasyon- P&amp;L'!X138-'Data - Simülasyon- P&amp;L'!E$3),6)</f>
        <v>3196.415</v>
      </c>
      <c r="AH138" s="16">
        <f>+ROUND(Pozisyon!$U$8*('Data - Simülasyon- P&amp;L'!Y138-'Data - Simülasyon- P&amp;L'!F$3),6)</f>
        <v>0</v>
      </c>
      <c r="AI138" s="16">
        <f>+ROUND(Pozisyon!$U$9*('Data - Simülasyon- P&amp;L'!Z138-'Data - Simülasyon- P&amp;L'!G$3),6)</f>
        <v>2890.2020000000002</v>
      </c>
      <c r="AJ138" s="16">
        <f>+ROUND(Pozisyon!$U$10*('Data - Simülasyon- P&amp;L'!AA138-'Data - Simülasyon- P&amp;L'!H$3),6)</f>
        <v>11797.812</v>
      </c>
      <c r="AK138" s="16">
        <f>+SUM(AD138:AJ138)</f>
        <v>31773.463000000003</v>
      </c>
      <c r="AL138" s="16">
        <f>+SMALL($AK$3:$AK$254,AB138)</f>
        <v>11800.886250000001</v>
      </c>
    </row>
    <row r="139" spans="1:38" ht="15" thickBot="1" x14ac:dyDescent="0.35">
      <c r="A139" s="5" t="s">
        <v>420</v>
      </c>
      <c r="B139" s="6">
        <v>7.45</v>
      </c>
      <c r="C139" s="5">
        <v>8.6999999999999993</v>
      </c>
      <c r="D139" s="6">
        <v>3.9</v>
      </c>
      <c r="E139" s="5">
        <v>1.27</v>
      </c>
      <c r="F139" s="5">
        <v>5.85</v>
      </c>
      <c r="G139" s="5">
        <v>4.51</v>
      </c>
      <c r="H139" s="5">
        <v>4.07</v>
      </c>
      <c r="J139" s="5" t="s">
        <v>420</v>
      </c>
      <c r="K139" s="11">
        <f>+ROUND(LN(B139/B140),6)</f>
        <v>-2.6809999999999998E-3</v>
      </c>
      <c r="L139" s="11">
        <f>+ROUND(LN(C139/C140),6)</f>
        <v>-3.4420000000000002E-3</v>
      </c>
      <c r="M139" s="11">
        <f>+ROUND(LN(D139/D140),6)</f>
        <v>-5.1149999999999998E-3</v>
      </c>
      <c r="N139" s="11">
        <f>+ROUND(LN(E139/E140),6)</f>
        <v>0</v>
      </c>
      <c r="O139" s="11">
        <f>+ROUND(LN(F139/F140),6)</f>
        <v>1.5504E-2</v>
      </c>
      <c r="P139" s="11">
        <f>+ROUND(LN(G139/G140),6)</f>
        <v>0</v>
      </c>
      <c r="Q139" s="11">
        <f>+ROUND(LN(H139/H140),6)</f>
        <v>-2.454E-3</v>
      </c>
      <c r="R139" s="3"/>
      <c r="T139" s="5" t="s">
        <v>138</v>
      </c>
      <c r="U139" s="15">
        <f>+ROUND(B$3*EXP(K139),6)</f>
        <v>7.5796520000000003</v>
      </c>
      <c r="V139" s="15">
        <f>+ROUND(C$3*EXP(L139),6)</f>
        <v>9.3178730000000005</v>
      </c>
      <c r="W139" s="15">
        <f>+ROUND(D$3*EXP(M139),6)</f>
        <v>2.755868</v>
      </c>
      <c r="X139" s="15">
        <f>+ROUND(E$3*EXP(N139),6)</f>
        <v>1.1499999999999999</v>
      </c>
      <c r="Y139" s="15">
        <f>+ROUND(F$3*EXP(O139),6)</f>
        <v>5.0578120000000002</v>
      </c>
      <c r="Z139" s="15">
        <f>+ROUND(G$3*EXP(P139),6)</f>
        <v>4.33</v>
      </c>
      <c r="AA139" s="15">
        <f>+ROUND(H$3*EXP(Q139),6)</f>
        <v>3.4116179999999998</v>
      </c>
      <c r="AB139" s="1">
        <v>137</v>
      </c>
      <c r="AC139" s="5" t="s">
        <v>138</v>
      </c>
      <c r="AD139" s="16">
        <f>+ROUND(Pozisyon!$U$4*('Data - Simülasyon- P&amp;L'!U139-'Data - Simülasyon- P&amp;L'!B$3),6)</f>
        <v>-2930.1120000000001</v>
      </c>
      <c r="AE139" s="16">
        <f>+ROUND(Pozisyon!$U$5*('Data - Simülasyon- P&amp;L'!V139-'Data - Simülasyon- P&amp;L'!C$3),6)</f>
        <v>-803.17499999999995</v>
      </c>
      <c r="AF139" s="16">
        <f>+ROUND(Pozisyon!$U$6*('Data - Simülasyon- P&amp;L'!W139-'Data - Simülasyon- P&amp;L'!D$3),6)</f>
        <v>-264.97500000000002</v>
      </c>
      <c r="AG139" s="16">
        <f>+ROUND(Pozisyon!$U$7*('Data - Simülasyon- P&amp;L'!X139-'Data - Simülasyon- P&amp;L'!E$3),6)</f>
        <v>0</v>
      </c>
      <c r="AH139" s="16">
        <f>+ROUND(Pozisyon!$U$8*('Data - Simülasyon- P&amp;L'!Y139-'Data - Simülasyon- P&amp;L'!F$3),6)</f>
        <v>16651.768</v>
      </c>
      <c r="AI139" s="16">
        <f>+ROUND(Pozisyon!$U$9*('Data - Simülasyon- P&amp;L'!Z139-'Data - Simülasyon- P&amp;L'!G$3),6)</f>
        <v>0</v>
      </c>
      <c r="AJ139" s="16">
        <f>+ROUND(Pozisyon!$U$10*('Data - Simülasyon- P&amp;L'!AA139-'Data - Simülasyon- P&amp;L'!H$3),6)</f>
        <v>-2942.0819999999999</v>
      </c>
      <c r="AK139" s="16">
        <f>+SUM(AD139:AJ139)</f>
        <v>9711.4239999999991</v>
      </c>
      <c r="AL139" s="16">
        <f>+SMALL($AK$3:$AK$254,AB139)</f>
        <v>11859.349</v>
      </c>
    </row>
    <row r="140" spans="1:38" ht="15" thickBot="1" x14ac:dyDescent="0.35">
      <c r="A140" s="5" t="s">
        <v>421</v>
      </c>
      <c r="B140" s="6">
        <v>7.47</v>
      </c>
      <c r="C140" s="5">
        <v>8.73</v>
      </c>
      <c r="D140" s="6">
        <v>3.92</v>
      </c>
      <c r="E140" s="5">
        <v>1.27</v>
      </c>
      <c r="F140" s="5">
        <v>5.76</v>
      </c>
      <c r="G140" s="5">
        <v>4.51</v>
      </c>
      <c r="H140" s="5">
        <v>4.08</v>
      </c>
      <c r="J140" s="5" t="s">
        <v>421</v>
      </c>
      <c r="K140" s="11">
        <f>+ROUND(LN(B140/B141),6)</f>
        <v>-4.0080000000000003E-3</v>
      </c>
      <c r="L140" s="11">
        <f>+ROUND(LN(C140/C141),6)</f>
        <v>-2.0409E-2</v>
      </c>
      <c r="M140" s="11">
        <f>+ROUND(LN(D140/D141),6)</f>
        <v>0</v>
      </c>
      <c r="N140" s="11">
        <f>+ROUND(LN(E140/E141),6)</f>
        <v>-2.3347E-2</v>
      </c>
      <c r="O140" s="11">
        <f>+ROUND(LN(F140/F141),6)</f>
        <v>-2.7399E-2</v>
      </c>
      <c r="P140" s="11">
        <f>+ROUND(LN(G140/G141),6)</f>
        <v>4.444E-3</v>
      </c>
      <c r="Q140" s="11">
        <f>+ROUND(LN(H140/H141),6)</f>
        <v>-2.4480000000000001E-3</v>
      </c>
      <c r="R140" s="3"/>
      <c r="T140" s="5" t="s">
        <v>139</v>
      </c>
      <c r="U140" s="15">
        <f>+ROUND(B$3*EXP(K140),6)</f>
        <v>7.5696000000000003</v>
      </c>
      <c r="V140" s="15">
        <f>+ROUND(C$3*EXP(L140),6)</f>
        <v>9.1611100000000008</v>
      </c>
      <c r="W140" s="15">
        <f>+ROUND(D$3*EXP(M140),6)</f>
        <v>2.77</v>
      </c>
      <c r="X140" s="15">
        <f>+ROUND(E$3*EXP(N140),6)</f>
        <v>1.123462</v>
      </c>
      <c r="Y140" s="15">
        <f>+ROUND(F$3*EXP(O140),6)</f>
        <v>4.8454050000000004</v>
      </c>
      <c r="Z140" s="15">
        <f>+ROUND(G$3*EXP(P140),6)</f>
        <v>4.3492850000000001</v>
      </c>
      <c r="AA140" s="15">
        <f>+ROUND(H$3*EXP(Q140),6)</f>
        <v>3.4116379999999999</v>
      </c>
      <c r="AB140" s="1">
        <v>138</v>
      </c>
      <c r="AC140" s="5" t="s">
        <v>139</v>
      </c>
      <c r="AD140" s="16">
        <f>+ROUND(Pozisyon!$U$4*('Data - Simülasyon- P&amp;L'!U140-'Data - Simülasyon- P&amp;L'!B$3),6)</f>
        <v>-4377.6000000000004</v>
      </c>
      <c r="AE140" s="16">
        <f>+ROUND(Pozisyon!$U$5*('Data - Simülasyon- P&amp;L'!V140-'Data - Simülasyon- P&amp;L'!C$3),6)</f>
        <v>-4722.25</v>
      </c>
      <c r="AF140" s="16">
        <f>+ROUND(Pozisyon!$U$6*('Data - Simülasyon- P&amp;L'!W140-'Data - Simülasyon- P&amp;L'!D$3),6)</f>
        <v>0</v>
      </c>
      <c r="AG140" s="16">
        <f>+ROUND(Pozisyon!$U$7*('Data - Simülasyon- P&amp;L'!X140-'Data - Simülasyon- P&amp;L'!E$3),6)</f>
        <v>-9367.9140000000007</v>
      </c>
      <c r="AH140" s="16">
        <f>+ROUND(Pozisyon!$U$8*('Data - Simülasyon- P&amp;L'!Y140-'Data - Simülasyon- P&amp;L'!F$3),6)</f>
        <v>-28803.33</v>
      </c>
      <c r="AI140" s="16">
        <f>+ROUND(Pozisyon!$U$9*('Data - Simülasyon- P&amp;L'!Z140-'Data - Simülasyon- P&amp;L'!G$3),6)</f>
        <v>5804.7849999999999</v>
      </c>
      <c r="AJ140" s="16">
        <f>+ROUND(Pozisyon!$U$10*('Data - Simülasyon- P&amp;L'!AA140-'Data - Simülasyon- P&amp;L'!H$3),6)</f>
        <v>-2935.0619999999999</v>
      </c>
      <c r="AK140" s="16">
        <f>+SUM(AD140:AJ140)</f>
        <v>-44401.371000000006</v>
      </c>
      <c r="AL140" s="16">
        <f>+SMALL($AK$3:$AK$254,AB140)</f>
        <v>12048.596500000001</v>
      </c>
    </row>
    <row r="141" spans="1:38" ht="15" thickBot="1" x14ac:dyDescent="0.35">
      <c r="A141" s="5" t="s">
        <v>422</v>
      </c>
      <c r="B141" s="6">
        <v>7.5</v>
      </c>
      <c r="C141" s="5">
        <v>8.91</v>
      </c>
      <c r="D141" s="6">
        <v>3.92</v>
      </c>
      <c r="E141" s="5">
        <v>1.3</v>
      </c>
      <c r="F141" s="5">
        <v>5.92</v>
      </c>
      <c r="G141" s="5">
        <v>4.49</v>
      </c>
      <c r="H141" s="5">
        <v>4.09</v>
      </c>
      <c r="J141" s="5" t="s">
        <v>422</v>
      </c>
      <c r="K141" s="11">
        <f>+ROUND(LN(B141/B142),6)</f>
        <v>-1.1929E-2</v>
      </c>
      <c r="L141" s="11">
        <f>+ROUND(LN(C141/C142),6)</f>
        <v>-1.89E-2</v>
      </c>
      <c r="M141" s="11">
        <f>+ROUND(LN(D141/D142),6)</f>
        <v>-5.0889999999999998E-3</v>
      </c>
      <c r="N141" s="11">
        <f>+ROUND(LN(E141/E142),6)</f>
        <v>-3.0304999999999999E-2</v>
      </c>
      <c r="O141" s="11">
        <f>+ROUND(LN(F141/F142),6)</f>
        <v>-2.6668000000000001E-2</v>
      </c>
      <c r="P141" s="11">
        <f>+ROUND(LN(G141/G142),6)</f>
        <v>-1.5469999999999999E-2</v>
      </c>
      <c r="Q141" s="11">
        <f>+ROUND(LN(H141/H142),6)</f>
        <v>-2.4420000000000002E-3</v>
      </c>
      <c r="R141" s="3"/>
      <c r="T141" s="5" t="s">
        <v>140</v>
      </c>
      <c r="U141" s="15">
        <f>+ROUND(B$3*EXP(K141),6)</f>
        <v>7.5098779999999996</v>
      </c>
      <c r="V141" s="15">
        <f>+ROUND(C$3*EXP(L141),6)</f>
        <v>9.174944</v>
      </c>
      <c r="W141" s="15">
        <f>+ROUND(D$3*EXP(M141),6)</f>
        <v>2.7559390000000001</v>
      </c>
      <c r="X141" s="15">
        <f>+ROUND(E$3*EXP(N141),6)</f>
        <v>1.115672</v>
      </c>
      <c r="Y141" s="15">
        <f>+ROUND(F$3*EXP(O141),6)</f>
        <v>4.8489490000000002</v>
      </c>
      <c r="Z141" s="15">
        <f>+ROUND(G$3*EXP(P141),6)</f>
        <v>4.2635300000000003</v>
      </c>
      <c r="AA141" s="15">
        <f>+ROUND(H$3*EXP(Q141),6)</f>
        <v>3.4116590000000002</v>
      </c>
      <c r="AB141" s="1">
        <v>139</v>
      </c>
      <c r="AC141" s="5" t="s">
        <v>140</v>
      </c>
      <c r="AD141" s="16">
        <f>+ROUND(Pozisyon!$U$4*('Data - Simülasyon- P&amp;L'!U141-'Data - Simülasyon- P&amp;L'!B$3),6)</f>
        <v>-12977.567999999999</v>
      </c>
      <c r="AE141" s="16">
        <f>+ROUND(Pozisyon!$U$5*('Data - Simülasyon- P&amp;L'!V141-'Data - Simülasyon- P&amp;L'!C$3),6)</f>
        <v>-4376.3999999999996</v>
      </c>
      <c r="AF141" s="16">
        <f>+ROUND(Pozisyon!$U$6*('Data - Simülasyon- P&amp;L'!W141-'Data - Simülasyon- P&amp;L'!D$3),6)</f>
        <v>-263.64375000000001</v>
      </c>
      <c r="AG141" s="16">
        <f>+ROUND(Pozisyon!$U$7*('Data - Simülasyon- P&amp;L'!X141-'Data - Simülasyon- P&amp;L'!E$3),6)</f>
        <v>-12117.784</v>
      </c>
      <c r="AH141" s="16">
        <f>+ROUND(Pozisyon!$U$8*('Data - Simülasyon- P&amp;L'!Y141-'Data - Simülasyon- P&amp;L'!F$3),6)</f>
        <v>-28044.914000000001</v>
      </c>
      <c r="AI141" s="16">
        <f>+ROUND(Pozisyon!$U$9*('Data - Simülasyon- P&amp;L'!Z141-'Data - Simülasyon- P&amp;L'!G$3),6)</f>
        <v>-20007.47</v>
      </c>
      <c r="AJ141" s="16">
        <f>+ROUND(Pozisyon!$U$10*('Data - Simülasyon- P&amp;L'!AA141-'Data - Simülasyon- P&amp;L'!H$3),6)</f>
        <v>-2927.6909999999998</v>
      </c>
      <c r="AK141" s="16">
        <f>+SUM(AD141:AJ141)</f>
        <v>-80715.470750000008</v>
      </c>
      <c r="AL141" s="16">
        <f>+SMALL($AK$3:$AK$254,AB141)</f>
        <v>12080.163500000001</v>
      </c>
    </row>
    <row r="142" spans="1:38" ht="15" thickBot="1" x14ac:dyDescent="0.35">
      <c r="A142" s="5" t="s">
        <v>423</v>
      </c>
      <c r="B142" s="6">
        <v>7.59</v>
      </c>
      <c r="C142" s="5">
        <v>9.08</v>
      </c>
      <c r="D142" s="6">
        <v>3.94</v>
      </c>
      <c r="E142" s="5">
        <v>1.34</v>
      </c>
      <c r="F142" s="5">
        <v>6.08</v>
      </c>
      <c r="G142" s="5">
        <v>4.5599999999999996</v>
      </c>
      <c r="H142" s="5">
        <v>4.0999999999999996</v>
      </c>
      <c r="J142" s="5" t="s">
        <v>423</v>
      </c>
      <c r="K142" s="11">
        <f>+ROUND(LN(B142/B143),6)</f>
        <v>-1.6983000000000002E-2</v>
      </c>
      <c r="L142" s="11">
        <f>+ROUND(LN(C142/C143),6)</f>
        <v>-8.7720000000000003E-3</v>
      </c>
      <c r="M142" s="11">
        <f>+ROUND(LN(D142/D143),6)</f>
        <v>7.6429999999999996E-3</v>
      </c>
      <c r="N142" s="11">
        <f>+ROUND(LN(E142/E143),6)</f>
        <v>0</v>
      </c>
      <c r="O142" s="11">
        <f>+ROUND(LN(F142/F143),6)</f>
        <v>1.6459999999999999E-3</v>
      </c>
      <c r="P142" s="11">
        <f>+ROUND(LN(G142/G143),6)</f>
        <v>-8.7340000000000004E-3</v>
      </c>
      <c r="Q142" s="11">
        <f>+ROUND(LN(H142/H143),6)</f>
        <v>-7.2899999999999996E-3</v>
      </c>
      <c r="R142" s="3"/>
      <c r="T142" s="5" t="s">
        <v>141</v>
      </c>
      <c r="U142" s="15">
        <f>+ROUND(B$3*EXP(K142),6)</f>
        <v>7.4720190000000004</v>
      </c>
      <c r="V142" s="15">
        <f>+ROUND(C$3*EXP(L142),6)</f>
        <v>9.2683400000000002</v>
      </c>
      <c r="W142" s="15">
        <f>+ROUND(D$3*EXP(M142),6)</f>
        <v>2.7912520000000001</v>
      </c>
      <c r="X142" s="15">
        <f>+ROUND(E$3*EXP(N142),6)</f>
        <v>1.1499999999999999</v>
      </c>
      <c r="Y142" s="15">
        <f>+ROUND(F$3*EXP(O142),6)</f>
        <v>4.9882039999999996</v>
      </c>
      <c r="Z142" s="15">
        <f>+ROUND(G$3*EXP(P142),6)</f>
        <v>4.2923460000000002</v>
      </c>
      <c r="AA142" s="15">
        <f>+ROUND(H$3*EXP(Q142),6)</f>
        <v>3.395159</v>
      </c>
      <c r="AB142" s="1">
        <v>140</v>
      </c>
      <c r="AC142" s="5" t="s">
        <v>141</v>
      </c>
      <c r="AD142" s="16">
        <f>+ROUND(Pozisyon!$U$4*('Data - Simülasyon- P&amp;L'!U142-'Data - Simülasyon- P&amp;L'!B$3),6)</f>
        <v>-18429.263999999999</v>
      </c>
      <c r="AE142" s="16">
        <f>+ROUND(Pozisyon!$U$5*('Data - Simülasyon- P&amp;L'!V142-'Data - Simülasyon- P&amp;L'!C$3),6)</f>
        <v>-2041.5</v>
      </c>
      <c r="AF142" s="16">
        <f>+ROUND(Pozisyon!$U$6*('Data - Simülasyon- P&amp;L'!W142-'Data - Simülasyon- P&amp;L'!D$3),6)</f>
        <v>398.47500000000002</v>
      </c>
      <c r="AG142" s="16">
        <f>+ROUND(Pozisyon!$U$7*('Data - Simülasyon- P&amp;L'!X142-'Data - Simülasyon- P&amp;L'!E$3),6)</f>
        <v>0</v>
      </c>
      <c r="AH142" s="16">
        <f>+ROUND(Pozisyon!$U$8*('Data - Simülasyon- P&amp;L'!Y142-'Data - Simülasyon- P&amp;L'!F$3),6)</f>
        <v>1755.6559999999999</v>
      </c>
      <c r="AI142" s="16">
        <f>+ROUND(Pozisyon!$U$9*('Data - Simülasyon- P&amp;L'!Z142-'Data - Simülasyon- P&amp;L'!G$3),6)</f>
        <v>-11333.853999999999</v>
      </c>
      <c r="AJ142" s="16">
        <f>+ROUND(Pozisyon!$U$10*('Data - Simülasyon- P&amp;L'!AA142-'Data - Simülasyon- P&amp;L'!H$3),6)</f>
        <v>-8719.1910000000007</v>
      </c>
      <c r="AK142" s="16">
        <f>+SUM(AD142:AJ142)</f>
        <v>-38369.678</v>
      </c>
      <c r="AL142" s="16">
        <f>+SMALL($AK$3:$AK$254,AB142)</f>
        <v>12798.563999999997</v>
      </c>
    </row>
    <row r="143" spans="1:38" ht="15" thickBot="1" x14ac:dyDescent="0.35">
      <c r="A143" s="5" t="s">
        <v>424</v>
      </c>
      <c r="B143" s="6">
        <v>7.72</v>
      </c>
      <c r="C143" s="5">
        <v>9.16</v>
      </c>
      <c r="D143" s="6">
        <v>3.91</v>
      </c>
      <c r="E143" s="5">
        <v>1.34</v>
      </c>
      <c r="F143" s="5">
        <v>6.07</v>
      </c>
      <c r="G143" s="5">
        <v>4.5999999999999996</v>
      </c>
      <c r="H143" s="5">
        <v>4.13</v>
      </c>
      <c r="J143" s="5" t="s">
        <v>424</v>
      </c>
      <c r="K143" s="11">
        <f>+ROUND(LN(B143/B144),6)</f>
        <v>1.9621E-2</v>
      </c>
      <c r="L143" s="11">
        <f>+ROUND(LN(C143/C144),6)</f>
        <v>8.7720000000000003E-3</v>
      </c>
      <c r="M143" s="11">
        <f>+ROUND(LN(D143/D144),6)</f>
        <v>2.5609999999999999E-3</v>
      </c>
      <c r="N143" s="11">
        <f>+ROUND(LN(E143/E144),6)</f>
        <v>1.5037999999999999E-2</v>
      </c>
      <c r="O143" s="11">
        <f>+ROUND(LN(F143/F144),6)</f>
        <v>-4.9300000000000004E-3</v>
      </c>
      <c r="P143" s="11">
        <f>+ROUND(LN(G143/G144),6)</f>
        <v>1.7544000000000001E-2</v>
      </c>
      <c r="Q143" s="11">
        <f>+ROUND(LN(H143/H144),6)</f>
        <v>1.4633999999999999E-2</v>
      </c>
      <c r="R143" s="3"/>
      <c r="T143" s="5" t="s">
        <v>142</v>
      </c>
      <c r="U143" s="15">
        <f>+ROUND(B$3*EXP(K143),6)</f>
        <v>7.7505920000000001</v>
      </c>
      <c r="V143" s="15">
        <f>+ROUND(C$3*EXP(L143),6)</f>
        <v>9.4323789999999992</v>
      </c>
      <c r="W143" s="15">
        <f>+ROUND(D$3*EXP(M143),6)</f>
        <v>2.7771029999999999</v>
      </c>
      <c r="X143" s="15">
        <f>+ROUND(E$3*EXP(N143),6)</f>
        <v>1.167424</v>
      </c>
      <c r="Y143" s="15">
        <f>+ROUND(F$3*EXP(O143),6)</f>
        <v>4.9555090000000002</v>
      </c>
      <c r="Z143" s="15">
        <f>+ROUND(G$3*EXP(P143),6)</f>
        <v>4.4066359999999998</v>
      </c>
      <c r="AA143" s="15">
        <f>+ROUND(H$3*EXP(Q143),6)</f>
        <v>3.4704160000000002</v>
      </c>
      <c r="AB143" s="1">
        <v>141</v>
      </c>
      <c r="AC143" s="5" t="s">
        <v>142</v>
      </c>
      <c r="AD143" s="16">
        <f>+ROUND(Pozisyon!$U$4*('Data - Simülasyon- P&amp;L'!U143-'Data - Simülasyon- P&amp;L'!B$3),6)</f>
        <v>21685.248</v>
      </c>
      <c r="AE143" s="16">
        <f>+ROUND(Pozisyon!$U$5*('Data - Simülasyon- P&amp;L'!V143-'Data - Simülasyon- P&amp;L'!C$3),6)</f>
        <v>2059.4749999999999</v>
      </c>
      <c r="AF143" s="16">
        <f>+ROUND(Pozisyon!$U$6*('Data - Simülasyon- P&amp;L'!W143-'Data - Simülasyon- P&amp;L'!D$3),6)</f>
        <v>133.18125000000001</v>
      </c>
      <c r="AG143" s="16">
        <f>+ROUND(Pozisyon!$U$7*('Data - Simülasyon- P&amp;L'!X143-'Data - Simülasyon- P&amp;L'!E$3),6)</f>
        <v>6150.6719999999996</v>
      </c>
      <c r="AH143" s="16">
        <f>+ROUND(Pozisyon!$U$8*('Data - Simülasyon- P&amp;L'!Y143-'Data - Simülasyon- P&amp;L'!F$3),6)</f>
        <v>-5241.0739999999996</v>
      </c>
      <c r="AI143" s="16">
        <f>+ROUND(Pozisyon!$U$9*('Data - Simülasyon- P&amp;L'!Z143-'Data - Simülasyon- P&amp;L'!G$3),6)</f>
        <v>23067.436000000002</v>
      </c>
      <c r="AJ143" s="16">
        <f>+ROUND(Pozisyon!$U$10*('Data - Simülasyon- P&amp;L'!AA143-'Data - Simülasyon- P&amp;L'!H$3),6)</f>
        <v>17696.016</v>
      </c>
      <c r="AK143" s="16">
        <f>+SUM(AD143:AJ143)</f>
        <v>65550.954249999995</v>
      </c>
      <c r="AL143" s="16">
        <f>+SMALL($AK$3:$AK$254,AB143)</f>
        <v>13212.759000000002</v>
      </c>
    </row>
    <row r="144" spans="1:38" ht="15" thickBot="1" x14ac:dyDescent="0.35">
      <c r="A144" s="5" t="s">
        <v>425</v>
      </c>
      <c r="B144" s="6">
        <v>7.57</v>
      </c>
      <c r="C144" s="5">
        <v>9.08</v>
      </c>
      <c r="D144" s="6">
        <v>3.9</v>
      </c>
      <c r="E144" s="5">
        <v>1.32</v>
      </c>
      <c r="F144" s="5">
        <v>6.1</v>
      </c>
      <c r="G144" s="5">
        <v>4.5199999999999996</v>
      </c>
      <c r="H144" s="5">
        <v>4.07</v>
      </c>
      <c r="J144" s="5" t="s">
        <v>425</v>
      </c>
      <c r="K144" s="11">
        <f>+ROUND(LN(B144/B145),6)</f>
        <v>-1.1819E-2</v>
      </c>
      <c r="L144" s="11">
        <f>+ROUND(LN(C144/C145),6)</f>
        <v>-1.101E-3</v>
      </c>
      <c r="M144" s="11">
        <f>+ROUND(LN(D144/D145),6)</f>
        <v>2.0726000000000001E-2</v>
      </c>
      <c r="N144" s="11">
        <f>+ROUND(LN(E144/E145),6)</f>
        <v>0</v>
      </c>
      <c r="O144" s="11">
        <f>+ROUND(LN(F144/F145),6)</f>
        <v>-2.4292999999999999E-2</v>
      </c>
      <c r="P144" s="11">
        <f>+ROUND(LN(G144/G145),6)</f>
        <v>-1.5368E-2</v>
      </c>
      <c r="Q144" s="11">
        <f>+ROUND(LN(H144/H145),6)</f>
        <v>-1.4633999999999999E-2</v>
      </c>
      <c r="R144" s="3"/>
      <c r="T144" s="5" t="s">
        <v>143</v>
      </c>
      <c r="U144" s="15">
        <f>+ROUND(B$3*EXP(K144),6)</f>
        <v>7.5107039999999996</v>
      </c>
      <c r="V144" s="15">
        <f>+ROUND(C$3*EXP(L144),6)</f>
        <v>9.3397109999999994</v>
      </c>
      <c r="W144" s="15">
        <f>+ROUND(D$3*EXP(M144),6)</f>
        <v>2.8280099999999999</v>
      </c>
      <c r="X144" s="15">
        <f>+ROUND(E$3*EXP(N144),6)</f>
        <v>1.1499999999999999</v>
      </c>
      <c r="Y144" s="15">
        <f>+ROUND(F$3*EXP(O144),6)</f>
        <v>4.8604789999999998</v>
      </c>
      <c r="Z144" s="15">
        <f>+ROUND(G$3*EXP(P144),6)</f>
        <v>4.2639649999999998</v>
      </c>
      <c r="AA144" s="15">
        <f>+ROUND(H$3*EXP(Q144),6)</f>
        <v>3.3703159999999999</v>
      </c>
      <c r="AB144" s="1">
        <v>142</v>
      </c>
      <c r="AC144" s="5" t="s">
        <v>143</v>
      </c>
      <c r="AD144" s="16">
        <f>+ROUND(Pozisyon!$U$4*('Data - Simülasyon- P&amp;L'!U144-'Data - Simülasyon- P&amp;L'!B$3),6)</f>
        <v>-12858.624</v>
      </c>
      <c r="AE144" s="16">
        <f>+ROUND(Pozisyon!$U$5*('Data - Simülasyon- P&amp;L'!V144-'Data - Simülasyon- P&amp;L'!C$3),6)</f>
        <v>-257.22500000000002</v>
      </c>
      <c r="AF144" s="16">
        <f>+ROUND(Pozisyon!$U$6*('Data - Simülasyon- P&amp;L'!W144-'Data - Simülasyon- P&amp;L'!D$3),6)</f>
        <v>1087.6875</v>
      </c>
      <c r="AG144" s="16">
        <f>+ROUND(Pozisyon!$U$7*('Data - Simülasyon- P&amp;L'!X144-'Data - Simülasyon- P&amp;L'!E$3),6)</f>
        <v>0</v>
      </c>
      <c r="AH144" s="16">
        <f>+ROUND(Pozisyon!$U$8*('Data - Simülasyon- P&amp;L'!Y144-'Data - Simülasyon- P&amp;L'!F$3),6)</f>
        <v>-25577.493999999999</v>
      </c>
      <c r="AI144" s="16">
        <f>+ROUND(Pozisyon!$U$9*('Data - Simülasyon- P&amp;L'!Z144-'Data - Simülasyon- P&amp;L'!G$3),6)</f>
        <v>-19876.535</v>
      </c>
      <c r="AJ144" s="16">
        <f>+ROUND(Pozisyon!$U$10*('Data - Simülasyon- P&amp;L'!AA144-'Data - Simülasyon- P&amp;L'!H$3),6)</f>
        <v>-17439.083999999999</v>
      </c>
      <c r="AK144" s="16">
        <f>+SUM(AD144:AJ144)</f>
        <v>-74921.2745</v>
      </c>
      <c r="AL144" s="16">
        <f>+SMALL($AK$3:$AK$254,AB144)</f>
        <v>16072.317999999999</v>
      </c>
    </row>
    <row r="145" spans="1:38" ht="15" thickBot="1" x14ac:dyDescent="0.35">
      <c r="A145" s="5" t="s">
        <v>426</v>
      </c>
      <c r="B145" s="6">
        <v>7.66</v>
      </c>
      <c r="C145" s="5">
        <v>9.09</v>
      </c>
      <c r="D145" s="6">
        <v>3.82</v>
      </c>
      <c r="E145" s="5">
        <v>1.32</v>
      </c>
      <c r="F145" s="5">
        <v>6.25</v>
      </c>
      <c r="G145" s="5">
        <v>4.59</v>
      </c>
      <c r="H145" s="5">
        <v>4.13</v>
      </c>
      <c r="J145" s="5" t="s">
        <v>426</v>
      </c>
      <c r="K145" s="11">
        <f>+ROUND(LN(B145/B146),6)</f>
        <v>7.8639999999999995E-3</v>
      </c>
      <c r="L145" s="11">
        <f>+ROUND(LN(C145/C146),6)</f>
        <v>2.2030000000000001E-3</v>
      </c>
      <c r="M145" s="11">
        <f>+ROUND(LN(D145/D146),6)</f>
        <v>0</v>
      </c>
      <c r="N145" s="11">
        <f>+ROUND(LN(E145/E146),6)</f>
        <v>0</v>
      </c>
      <c r="O145" s="11">
        <f>+ROUND(LN(F145/F146),6)</f>
        <v>9.6460000000000001E-3</v>
      </c>
      <c r="P145" s="11">
        <f>+ROUND(LN(G145/G146),6)</f>
        <v>1.9803000000000001E-2</v>
      </c>
      <c r="Q145" s="11">
        <f>+ROUND(LN(H145/H146),6)</f>
        <v>1.7094000000000002E-2</v>
      </c>
      <c r="R145" s="3"/>
      <c r="T145" s="5" t="s">
        <v>144</v>
      </c>
      <c r="U145" s="15">
        <f>+ROUND(B$3*EXP(K145),6)</f>
        <v>7.6600020000000004</v>
      </c>
      <c r="V145" s="15">
        <f>+ROUND(C$3*EXP(L145),6)</f>
        <v>9.3706209999999999</v>
      </c>
      <c r="W145" s="15">
        <f>+ROUND(D$3*EXP(M145),6)</f>
        <v>2.77</v>
      </c>
      <c r="X145" s="15">
        <f>+ROUND(E$3*EXP(N145),6)</f>
        <v>1.1499999999999999</v>
      </c>
      <c r="Y145" s="15">
        <f>+ROUND(F$3*EXP(O145),6)</f>
        <v>5.02827</v>
      </c>
      <c r="Z145" s="15">
        <f>+ROUND(G$3*EXP(P145),6)</f>
        <v>4.4166020000000001</v>
      </c>
      <c r="AA145" s="15">
        <f>+ROUND(H$3*EXP(Q145),6)</f>
        <v>3.4789639999999999</v>
      </c>
      <c r="AB145" s="1">
        <v>143</v>
      </c>
      <c r="AC145" s="5" t="s">
        <v>144</v>
      </c>
      <c r="AD145" s="16">
        <f>+ROUND(Pozisyon!$U$4*('Data - Simülasyon- P&amp;L'!U145-'Data - Simülasyon- P&amp;L'!B$3),6)</f>
        <v>8640.2880000000005</v>
      </c>
      <c r="AE145" s="16">
        <f>+ROUND(Pozisyon!$U$5*('Data - Simülasyon- P&amp;L'!V145-'Data - Simülasyon- P&amp;L'!C$3),6)</f>
        <v>515.52499999999998</v>
      </c>
      <c r="AF145" s="16">
        <f>+ROUND(Pozisyon!$U$6*('Data - Simülasyon- P&amp;L'!W145-'Data - Simülasyon- P&amp;L'!D$3),6)</f>
        <v>0</v>
      </c>
      <c r="AG145" s="16">
        <f>+ROUND(Pozisyon!$U$7*('Data - Simülasyon- P&amp;L'!X145-'Data - Simülasyon- P&amp;L'!E$3),6)</f>
        <v>0</v>
      </c>
      <c r="AH145" s="16">
        <f>+ROUND(Pozisyon!$U$8*('Data - Simülasyon- P&amp;L'!Y145-'Data - Simülasyon- P&amp;L'!F$3),6)</f>
        <v>10329.780000000001</v>
      </c>
      <c r="AI145" s="16">
        <f>+ROUND(Pozisyon!$U$9*('Data - Simülasyon- P&amp;L'!Z145-'Data - Simülasyon- P&amp;L'!G$3),6)</f>
        <v>26067.202000000001</v>
      </c>
      <c r="AJ145" s="16">
        <f>+ROUND(Pozisyon!$U$10*('Data - Simülasyon- P&amp;L'!AA145-'Data - Simülasyon- P&amp;L'!H$3),6)</f>
        <v>20696.364000000001</v>
      </c>
      <c r="AK145" s="16">
        <f>+SUM(AD145:AJ145)</f>
        <v>66249.159</v>
      </c>
      <c r="AL145" s="16">
        <f>+SMALL($AK$3:$AK$254,AB145)</f>
        <v>16197.816999999999</v>
      </c>
    </row>
    <row r="146" spans="1:38" ht="15" thickBot="1" x14ac:dyDescent="0.35">
      <c r="A146" s="5" t="s">
        <v>427</v>
      </c>
      <c r="B146" s="6">
        <v>7.6</v>
      </c>
      <c r="C146" s="5">
        <v>9.07</v>
      </c>
      <c r="D146" s="6">
        <v>3.82</v>
      </c>
      <c r="E146" s="5">
        <v>1.32</v>
      </c>
      <c r="F146" s="5">
        <v>6.19</v>
      </c>
      <c r="G146" s="5">
        <v>4.5</v>
      </c>
      <c r="H146" s="5">
        <v>4.0599999999999996</v>
      </c>
      <c r="J146" s="5" t="s">
        <v>427</v>
      </c>
      <c r="K146" s="11">
        <f>+ROUND(LN(B146/B147),6)</f>
        <v>3.4809E-2</v>
      </c>
      <c r="L146" s="11">
        <f>+ROUND(LN(C146/C147),6)</f>
        <v>2.3425000000000001E-2</v>
      </c>
      <c r="M146" s="11">
        <f>+ROUND(LN(D146/D147),6)</f>
        <v>2.6210000000000001E-3</v>
      </c>
      <c r="N146" s="11">
        <f>+ROUND(LN(E146/E147),6)</f>
        <v>7.6049999999999998E-3</v>
      </c>
      <c r="O146" s="11">
        <f>+ROUND(LN(F146/F147),6)</f>
        <v>9.7400000000000004E-3</v>
      </c>
      <c r="P146" s="11">
        <f>+ROUND(LN(G146/G147),6)</f>
        <v>3.6202999999999999E-2</v>
      </c>
      <c r="Q146" s="11">
        <f>+ROUND(LN(H146/H147),6)</f>
        <v>2.4938999999999999E-2</v>
      </c>
      <c r="R146" s="3"/>
      <c r="T146" s="5" t="s">
        <v>145</v>
      </c>
      <c r="U146" s="15">
        <f>+ROUND(B$3*EXP(K146),6)</f>
        <v>7.8692070000000003</v>
      </c>
      <c r="V146" s="15">
        <f>+ROUND(C$3*EXP(L146),6)</f>
        <v>9.5716090000000005</v>
      </c>
      <c r="W146" s="15">
        <f>+ROUND(D$3*EXP(M146),6)</f>
        <v>2.7772700000000001</v>
      </c>
      <c r="X146" s="15">
        <f>+ROUND(E$3*EXP(N146),6)</f>
        <v>1.158779</v>
      </c>
      <c r="Y146" s="15">
        <f>+ROUND(F$3*EXP(O146),6)</f>
        <v>5.0287420000000003</v>
      </c>
      <c r="Z146" s="15">
        <f>+ROUND(G$3*EXP(P146),6)</f>
        <v>4.4896310000000001</v>
      </c>
      <c r="AA146" s="15">
        <f>+ROUND(H$3*EXP(Q146),6)</f>
        <v>3.506364</v>
      </c>
      <c r="AB146" s="1">
        <v>144</v>
      </c>
      <c r="AC146" s="5" t="s">
        <v>145</v>
      </c>
      <c r="AD146" s="16">
        <f>+ROUND(Pozisyon!$U$4*('Data - Simülasyon- P&amp;L'!U146-'Data - Simülasyon- P&amp;L'!B$3),6)</f>
        <v>38765.807999999997</v>
      </c>
      <c r="AE146" s="16">
        <f>+ROUND(Pozisyon!$U$5*('Data - Simülasyon- P&amp;L'!V146-'Data - Simülasyon- P&amp;L'!C$3),6)</f>
        <v>5540.2250000000004</v>
      </c>
      <c r="AF146" s="16">
        <f>+ROUND(Pozisyon!$U$6*('Data - Simülasyon- P&amp;L'!W146-'Data - Simülasyon- P&amp;L'!D$3),6)</f>
        <v>136.3125</v>
      </c>
      <c r="AG146" s="16">
        <f>+ROUND(Pozisyon!$U$7*('Data - Simülasyon- P&amp;L'!X146-'Data - Simülasyon- P&amp;L'!E$3),6)</f>
        <v>3098.9870000000001</v>
      </c>
      <c r="AH146" s="16">
        <f>+ROUND(Pozisyon!$U$8*('Data - Simülasyon- P&amp;L'!Y146-'Data - Simülasyon- P&amp;L'!F$3),6)</f>
        <v>10430.788</v>
      </c>
      <c r="AI146" s="16">
        <f>+ROUND(Pozisyon!$U$9*('Data - Simülasyon- P&amp;L'!Z146-'Data - Simülasyon- P&amp;L'!G$3),6)</f>
        <v>48048.930999999997</v>
      </c>
      <c r="AJ146" s="16">
        <f>+ROUND(Pozisyon!$U$10*('Data - Simülasyon- P&amp;L'!AA146-'Data - Simülasyon- P&amp;L'!H$3),6)</f>
        <v>30313.763999999999</v>
      </c>
      <c r="AK146" s="16">
        <f>+SUM(AD146:AJ146)</f>
        <v>136334.8155</v>
      </c>
      <c r="AL146" s="16">
        <f>+SMALL($AK$3:$AK$254,AB146)</f>
        <v>19137.792000000001</v>
      </c>
    </row>
    <row r="147" spans="1:38" ht="15" thickBot="1" x14ac:dyDescent="0.35">
      <c r="A147" s="5" t="s">
        <v>428</v>
      </c>
      <c r="B147" s="6">
        <v>7.34</v>
      </c>
      <c r="C147" s="5">
        <v>8.86</v>
      </c>
      <c r="D147" s="6">
        <v>3.81</v>
      </c>
      <c r="E147" s="5">
        <v>1.31</v>
      </c>
      <c r="F147" s="5">
        <v>6.13</v>
      </c>
      <c r="G147" s="5">
        <v>4.34</v>
      </c>
      <c r="H147" s="5">
        <v>3.96</v>
      </c>
      <c r="J147" s="5" t="s">
        <v>428</v>
      </c>
      <c r="K147" s="11">
        <f>+ROUND(LN(B147/B148),6)</f>
        <v>-1.4874999999999999E-2</v>
      </c>
      <c r="L147" s="11">
        <f>+ROUND(LN(C147/C148),6)</f>
        <v>-1.0107E-2</v>
      </c>
      <c r="M147" s="11">
        <f>+ROUND(LN(D147/D148),6)</f>
        <v>-7.8429999999999993E-3</v>
      </c>
      <c r="N147" s="11">
        <f>+ROUND(LN(E147/E148),6)</f>
        <v>0</v>
      </c>
      <c r="O147" s="11">
        <f>+ROUND(LN(F147/F148),6)</f>
        <v>-6.5040000000000002E-3</v>
      </c>
      <c r="P147" s="11">
        <f>+ROUND(LN(G147/G148),6)</f>
        <v>-2.0525000000000002E-2</v>
      </c>
      <c r="Q147" s="11">
        <f>+ROUND(LN(H147/H148),6)</f>
        <v>-3.2301000000000003E-2</v>
      </c>
      <c r="R147" s="3"/>
      <c r="T147" s="5" t="s">
        <v>146</v>
      </c>
      <c r="U147" s="15">
        <f>+ROUND(B$3*EXP(K147),6)</f>
        <v>7.487787</v>
      </c>
      <c r="V147" s="15">
        <f>+ROUND(C$3*EXP(L147),6)</f>
        <v>9.2559760000000004</v>
      </c>
      <c r="W147" s="15">
        <f>+ROUND(D$3*EXP(M147),6)</f>
        <v>2.7483599999999999</v>
      </c>
      <c r="X147" s="15">
        <f>+ROUND(E$3*EXP(N147),6)</f>
        <v>1.1499999999999999</v>
      </c>
      <c r="Y147" s="15">
        <f>+ROUND(F$3*EXP(O147),6)</f>
        <v>4.9477149999999996</v>
      </c>
      <c r="Z147" s="15">
        <f>+ROUND(G$3*EXP(P147),6)</f>
        <v>4.2420330000000002</v>
      </c>
      <c r="AA147" s="15">
        <f>+ROUND(H$3*EXP(Q147),6)</f>
        <v>3.311296</v>
      </c>
      <c r="AB147" s="1">
        <v>145</v>
      </c>
      <c r="AC147" s="5" t="s">
        <v>146</v>
      </c>
      <c r="AD147" s="16">
        <f>+ROUND(Pozisyon!$U$4*('Data - Simülasyon- P&amp;L'!U147-'Data - Simülasyon- P&amp;L'!B$3),6)</f>
        <v>-16158.672</v>
      </c>
      <c r="AE147" s="16">
        <f>+ROUND(Pozisyon!$U$5*('Data - Simülasyon- P&amp;L'!V147-'Data - Simülasyon- P&amp;L'!C$3),6)</f>
        <v>-2350.6</v>
      </c>
      <c r="AF147" s="16">
        <f>+ROUND(Pozisyon!$U$6*('Data - Simülasyon- P&amp;L'!W147-'Data - Simülasyon- P&amp;L'!D$3),6)</f>
        <v>-405.75</v>
      </c>
      <c r="AG147" s="16">
        <f>+ROUND(Pozisyon!$U$7*('Data - Simülasyon- P&amp;L'!X147-'Data - Simülasyon- P&amp;L'!E$3),6)</f>
        <v>0</v>
      </c>
      <c r="AH147" s="16">
        <f>+ROUND(Pozisyon!$U$8*('Data - Simülasyon- P&amp;L'!Y147-'Data - Simülasyon- P&amp;L'!F$3),6)</f>
        <v>-6908.99</v>
      </c>
      <c r="AI147" s="16">
        <f>+ROUND(Pozisyon!$U$9*('Data - Simülasyon- P&amp;L'!Z147-'Data - Simülasyon- P&amp;L'!G$3),6)</f>
        <v>-26478.066999999999</v>
      </c>
      <c r="AJ147" s="16">
        <f>+ROUND(Pozisyon!$U$10*('Data - Simülasyon- P&amp;L'!AA147-'Data - Simülasyon- P&amp;L'!H$3),6)</f>
        <v>-38155.103999999999</v>
      </c>
      <c r="AK147" s="16">
        <f>+SUM(AD147:AJ147)</f>
        <v>-90457.18299999999</v>
      </c>
      <c r="AL147" s="16">
        <f>+SMALL($AK$3:$AK$254,AB147)</f>
        <v>19285.91675</v>
      </c>
    </row>
    <row r="148" spans="1:38" ht="15" thickBot="1" x14ac:dyDescent="0.35">
      <c r="A148" s="5" t="s">
        <v>429</v>
      </c>
      <c r="B148" s="6">
        <v>7.45</v>
      </c>
      <c r="C148" s="5">
        <v>8.9499999999999993</v>
      </c>
      <c r="D148" s="6">
        <v>3.84</v>
      </c>
      <c r="E148" s="5">
        <v>1.31</v>
      </c>
      <c r="F148" s="5">
        <v>6.17</v>
      </c>
      <c r="G148" s="5">
        <v>4.43</v>
      </c>
      <c r="H148" s="5">
        <v>4.09</v>
      </c>
      <c r="J148" s="5" t="s">
        <v>429</v>
      </c>
      <c r="K148" s="11">
        <f>+ROUND(LN(B148/B149),6)</f>
        <v>-1.4657E-2</v>
      </c>
      <c r="L148" s="11">
        <f>+ROUND(LN(C148/C149),6)</f>
        <v>6.7260000000000002E-3</v>
      </c>
      <c r="M148" s="11">
        <f>+ROUND(LN(D148/D149),6)</f>
        <v>1.0470999999999999E-2</v>
      </c>
      <c r="N148" s="11">
        <f>+ROUND(LN(E148/E149),6)</f>
        <v>-3.7457999999999998E-2</v>
      </c>
      <c r="O148" s="11">
        <f>+ROUND(LN(F148/F149),6)</f>
        <v>-1.4481000000000001E-2</v>
      </c>
      <c r="P148" s="11">
        <f>+ROUND(LN(G148/G149),6)</f>
        <v>-2.2550000000000001E-3</v>
      </c>
      <c r="Q148" s="11">
        <f>+ROUND(LN(H148/H149),6)</f>
        <v>-9.7319999999999993E-3</v>
      </c>
      <c r="R148" s="3"/>
      <c r="T148" s="5" t="s">
        <v>147</v>
      </c>
      <c r="U148" s="15">
        <f>+ROUND(B$3*EXP(K148),6)</f>
        <v>7.4894189999999998</v>
      </c>
      <c r="V148" s="15">
        <f>+ROUND(C$3*EXP(L148),6)</f>
        <v>9.4131</v>
      </c>
      <c r="W148" s="15">
        <f>+ROUND(D$3*EXP(M148),6)</f>
        <v>2.7991570000000001</v>
      </c>
      <c r="X148" s="15">
        <f>+ROUND(E$3*EXP(N148),6)</f>
        <v>1.10772</v>
      </c>
      <c r="Y148" s="15">
        <f>+ROUND(F$3*EXP(O148),6)</f>
        <v>4.908404</v>
      </c>
      <c r="Z148" s="15">
        <f>+ROUND(G$3*EXP(P148),6)</f>
        <v>4.3202470000000002</v>
      </c>
      <c r="AA148" s="15">
        <f>+ROUND(H$3*EXP(Q148),6)</f>
        <v>3.3868779999999998</v>
      </c>
      <c r="AB148" s="1">
        <v>146</v>
      </c>
      <c r="AC148" s="5" t="s">
        <v>147</v>
      </c>
      <c r="AD148" s="16">
        <f>+ROUND(Pozisyon!$U$4*('Data - Simülasyon- P&amp;L'!U148-'Data - Simülasyon- P&amp;L'!B$3),6)</f>
        <v>-15923.664000000001</v>
      </c>
      <c r="AE148" s="16">
        <f>+ROUND(Pozisyon!$U$5*('Data - Simülasyon- P&amp;L'!V148-'Data - Simülasyon- P&amp;L'!C$3),6)</f>
        <v>1577.5</v>
      </c>
      <c r="AF148" s="16">
        <f>+ROUND(Pozisyon!$U$6*('Data - Simülasyon- P&amp;L'!W148-'Data - Simülasyon- P&amp;L'!D$3),6)</f>
        <v>546.69375000000002</v>
      </c>
      <c r="AG148" s="16">
        <f>+ROUND(Pozisyon!$U$7*('Data - Simülasyon- P&amp;L'!X148-'Data - Simülasyon- P&amp;L'!E$3),6)</f>
        <v>-14924.84</v>
      </c>
      <c r="AH148" s="16">
        <f>+ROUND(Pozisyon!$U$8*('Data - Simülasyon- P&amp;L'!Y148-'Data - Simülasyon- P&amp;L'!F$3),6)</f>
        <v>-15321.544</v>
      </c>
      <c r="AI148" s="16">
        <f>+ROUND(Pozisyon!$U$9*('Data - Simülasyon- P&amp;L'!Z148-'Data - Simülasyon- P&amp;L'!G$3),6)</f>
        <v>-2935.6529999999998</v>
      </c>
      <c r="AJ148" s="16">
        <f>+ROUND(Pozisyon!$U$10*('Data - Simülasyon- P&amp;L'!AA148-'Data - Simülasyon- P&amp;L'!H$3),6)</f>
        <v>-11625.822</v>
      </c>
      <c r="AK148" s="16">
        <f>+SUM(AD148:AJ148)</f>
        <v>-58607.329250000003</v>
      </c>
      <c r="AL148" s="16">
        <f>+SMALL($AK$3:$AK$254,AB148)</f>
        <v>19775.543999999998</v>
      </c>
    </row>
    <row r="149" spans="1:38" ht="15" thickBot="1" x14ac:dyDescent="0.35">
      <c r="A149" s="5" t="s">
        <v>430</v>
      </c>
      <c r="B149" s="6">
        <v>7.56</v>
      </c>
      <c r="C149" s="5">
        <v>8.89</v>
      </c>
      <c r="D149" s="6">
        <v>3.8</v>
      </c>
      <c r="E149" s="5">
        <v>1.36</v>
      </c>
      <c r="F149" s="5">
        <v>6.26</v>
      </c>
      <c r="G149" s="5">
        <v>4.4400000000000004</v>
      </c>
      <c r="H149" s="5">
        <v>4.13</v>
      </c>
      <c r="J149" s="5" t="s">
        <v>430</v>
      </c>
      <c r="K149" s="11">
        <f>+ROUND(LN(B149/B150),6)</f>
        <v>-2.6419999999999998E-3</v>
      </c>
      <c r="L149" s="11">
        <f>+ROUND(LN(C149/C150),6)</f>
        <v>-1.2298E-2</v>
      </c>
      <c r="M149" s="11">
        <f>+ROUND(LN(D149/D150),6)</f>
        <v>-6.3715999999999995E-2</v>
      </c>
      <c r="N149" s="11">
        <f>+ROUND(LN(E149/E150),6)</f>
        <v>-7.326E-3</v>
      </c>
      <c r="O149" s="11">
        <f>+ROUND(LN(F149/F150),6)</f>
        <v>-9.5390000000000006E-3</v>
      </c>
      <c r="P149" s="11">
        <f>+ROUND(LN(G149/G150),6)</f>
        <v>-2.2499999999999998E-3</v>
      </c>
      <c r="Q149" s="11">
        <f>+ROUND(LN(H149/H150),6)</f>
        <v>-9.639E-3</v>
      </c>
      <c r="R149" s="3"/>
      <c r="T149" s="5" t="s">
        <v>148</v>
      </c>
      <c r="U149" s="15">
        <f>+ROUND(B$3*EXP(K149),6)</f>
        <v>7.5799469999999998</v>
      </c>
      <c r="V149" s="15">
        <f>+ROUND(C$3*EXP(L149),6)</f>
        <v>9.2357180000000003</v>
      </c>
      <c r="W149" s="15">
        <f>+ROUND(D$3*EXP(M149),6)</f>
        <v>2.5990120000000001</v>
      </c>
      <c r="X149" s="15">
        <f>+ROUND(E$3*EXP(N149),6)</f>
        <v>1.1416059999999999</v>
      </c>
      <c r="Y149" s="15">
        <f>+ROUND(F$3*EXP(O149),6)</f>
        <v>4.9327220000000001</v>
      </c>
      <c r="Z149" s="15">
        <f>+ROUND(G$3*EXP(P149),6)</f>
        <v>4.3202680000000004</v>
      </c>
      <c r="AA149" s="15">
        <f>+ROUND(H$3*EXP(Q149),6)</f>
        <v>3.3871929999999999</v>
      </c>
      <c r="AB149" s="1">
        <v>147</v>
      </c>
      <c r="AC149" s="5" t="s">
        <v>148</v>
      </c>
      <c r="AD149" s="16">
        <f>+ROUND(Pozisyon!$U$4*('Data - Simülasyon- P&amp;L'!U149-'Data - Simülasyon- P&amp;L'!B$3),6)</f>
        <v>-2887.6320000000001</v>
      </c>
      <c r="AE149" s="16">
        <f>+ROUND(Pozisyon!$U$5*('Data - Simülasyon- P&amp;L'!V149-'Data - Simülasyon- P&amp;L'!C$3),6)</f>
        <v>-2857.05</v>
      </c>
      <c r="AF149" s="16">
        <f>+ROUND(Pozisyon!$U$6*('Data - Simülasyon- P&amp;L'!W149-'Data - Simülasyon- P&amp;L'!D$3),6)</f>
        <v>-3206.0250000000001</v>
      </c>
      <c r="AG149" s="16">
        <f>+ROUND(Pozisyon!$U$7*('Data - Simülasyon- P&amp;L'!X149-'Data - Simülasyon- P&amp;L'!E$3),6)</f>
        <v>-2963.0819999999999</v>
      </c>
      <c r="AH149" s="16">
        <f>+ROUND(Pozisyon!$U$8*('Data - Simülasyon- P&amp;L'!Y149-'Data - Simülasyon- P&amp;L'!F$3),6)</f>
        <v>-10117.492</v>
      </c>
      <c r="AI149" s="16">
        <f>+ROUND(Pozisyon!$U$9*('Data - Simülasyon- P&amp;L'!Z149-'Data - Simülasyon- P&amp;L'!G$3),6)</f>
        <v>-2929.3319999999999</v>
      </c>
      <c r="AJ149" s="16">
        <f>+ROUND(Pozisyon!$U$10*('Data - Simülasyon- P&amp;L'!AA149-'Data - Simülasyon- P&amp;L'!H$3),6)</f>
        <v>-11515.257</v>
      </c>
      <c r="AK149" s="16">
        <f>+SUM(AD149:AJ149)</f>
        <v>-36475.870000000003</v>
      </c>
      <c r="AL149" s="16">
        <f>+SMALL($AK$3:$AK$254,AB149)</f>
        <v>20045.397250000002</v>
      </c>
    </row>
    <row r="150" spans="1:38" ht="15" thickBot="1" x14ac:dyDescent="0.35">
      <c r="A150" s="5" t="s">
        <v>431</v>
      </c>
      <c r="B150" s="6">
        <v>7.58</v>
      </c>
      <c r="C150" s="5">
        <v>9</v>
      </c>
      <c r="D150" s="6">
        <v>4.05</v>
      </c>
      <c r="E150" s="5">
        <v>1.37</v>
      </c>
      <c r="F150" s="5">
        <v>6.32</v>
      </c>
      <c r="G150" s="5">
        <v>4.45</v>
      </c>
      <c r="H150" s="5">
        <v>4.17</v>
      </c>
      <c r="J150" s="5" t="s">
        <v>431</v>
      </c>
      <c r="K150" s="11">
        <f>+ROUND(LN(B150/B151),6)</f>
        <v>7.9469999999999992E-3</v>
      </c>
      <c r="L150" s="11">
        <f>+ROUND(LN(C150/C151),6)</f>
        <v>2.225E-3</v>
      </c>
      <c r="M150" s="11">
        <f>+ROUND(LN(D150/D151),6)</f>
        <v>2.4719999999999998E-3</v>
      </c>
      <c r="N150" s="11">
        <f>+ROUND(LN(E150/E151),6)</f>
        <v>7.326E-3</v>
      </c>
      <c r="O150" s="11">
        <f>+ROUND(LN(F150/F151),6)</f>
        <v>2.0784E-2</v>
      </c>
      <c r="P150" s="11">
        <f>+ROUND(LN(G150/G151),6)</f>
        <v>1.3575E-2</v>
      </c>
      <c r="Q150" s="11">
        <f>+ROUND(LN(H150/H151),6)</f>
        <v>2.9198999999999999E-2</v>
      </c>
      <c r="R150" s="3"/>
      <c r="T150" s="5" t="s">
        <v>149</v>
      </c>
      <c r="U150" s="15">
        <f>+ROUND(B$3*EXP(K150),6)</f>
        <v>7.6606379999999996</v>
      </c>
      <c r="V150" s="15">
        <f>+ROUND(C$3*EXP(L150),6)</f>
        <v>9.3708270000000002</v>
      </c>
      <c r="W150" s="15">
        <f>+ROUND(D$3*EXP(M150),6)</f>
        <v>2.776856</v>
      </c>
      <c r="X150" s="15">
        <f>+ROUND(E$3*EXP(N150),6)</f>
        <v>1.1584559999999999</v>
      </c>
      <c r="Y150" s="15">
        <f>+ROUND(F$3*EXP(O150),6)</f>
        <v>5.084587</v>
      </c>
      <c r="Z150" s="15">
        <f>+ROUND(G$3*EXP(P150),6)</f>
        <v>4.3891809999999998</v>
      </c>
      <c r="AA150" s="15">
        <f>+ROUND(H$3*EXP(Q150),6)</f>
        <v>3.5213329999999998</v>
      </c>
      <c r="AB150" s="1">
        <v>148</v>
      </c>
      <c r="AC150" s="5" t="s">
        <v>149</v>
      </c>
      <c r="AD150" s="16">
        <f>+ROUND(Pozisyon!$U$4*('Data - Simülasyon- P&amp;L'!U150-'Data - Simülasyon- P&amp;L'!B$3),6)</f>
        <v>8731.8719999999994</v>
      </c>
      <c r="AE150" s="16">
        <f>+ROUND(Pozisyon!$U$5*('Data - Simülasyon- P&amp;L'!V150-'Data - Simülasyon- P&amp;L'!C$3),6)</f>
        <v>520.67499999999995</v>
      </c>
      <c r="AF150" s="16">
        <f>+ROUND(Pozisyon!$U$6*('Data - Simülasyon- P&amp;L'!W150-'Data - Simülasyon- P&amp;L'!D$3),6)</f>
        <v>128.55000000000001</v>
      </c>
      <c r="AG150" s="16">
        <f>+ROUND(Pozisyon!$U$7*('Data - Simülasyon- P&amp;L'!X150-'Data - Simülasyon- P&amp;L'!E$3),6)</f>
        <v>2984.9679999999998</v>
      </c>
      <c r="AH150" s="16">
        <f>+ROUND(Pozisyon!$U$8*('Data - Simülasyon- P&amp;L'!Y150-'Data - Simülasyon- P&amp;L'!F$3),6)</f>
        <v>22381.617999999999</v>
      </c>
      <c r="AI150" s="16">
        <f>+ROUND(Pozisyon!$U$9*('Data - Simülasyon- P&amp;L'!Z150-'Data - Simülasyon- P&amp;L'!G$3),6)</f>
        <v>17813.481</v>
      </c>
      <c r="AJ150" s="16">
        <f>+ROUND(Pozisyon!$U$10*('Data - Simülasyon- P&amp;L'!AA150-'Data - Simülasyon- P&amp;L'!H$3),6)</f>
        <v>35567.883000000002</v>
      </c>
      <c r="AK150" s="16">
        <f>+SUM(AD150:AJ150)</f>
        <v>88129.046999999991</v>
      </c>
      <c r="AL150" s="16">
        <f>+SMALL($AK$3:$AK$254,AB150)</f>
        <v>21329.847000000002</v>
      </c>
    </row>
    <row r="151" spans="1:38" ht="15" thickBot="1" x14ac:dyDescent="0.35">
      <c r="A151" s="5" t="s">
        <v>432</v>
      </c>
      <c r="B151" s="6">
        <v>7.52</v>
      </c>
      <c r="C151" s="5">
        <v>8.98</v>
      </c>
      <c r="D151" s="6">
        <v>4.04</v>
      </c>
      <c r="E151" s="5">
        <v>1.36</v>
      </c>
      <c r="F151" s="5">
        <v>6.19</v>
      </c>
      <c r="G151" s="5">
        <v>4.3899999999999997</v>
      </c>
      <c r="H151" s="5">
        <v>4.05</v>
      </c>
      <c r="J151" s="5" t="s">
        <v>432</v>
      </c>
      <c r="K151" s="11">
        <f>+ROUND(LN(B151/B152),6)</f>
        <v>-3.9810000000000002E-3</v>
      </c>
      <c r="L151" s="11">
        <f>+ROUND(LN(C151/C152),6)</f>
        <v>-6.659E-3</v>
      </c>
      <c r="M151" s="11">
        <f>+ROUND(LN(D151/D152),6)</f>
        <v>0</v>
      </c>
      <c r="N151" s="11">
        <f>+ROUND(LN(E151/E152),6)</f>
        <v>2.2305999999999999E-2</v>
      </c>
      <c r="O151" s="11">
        <f>+ROUND(LN(F151/F152),6)</f>
        <v>-6.4409999999999997E-3</v>
      </c>
      <c r="P151" s="11">
        <f>+ROUND(LN(G151/G152),6)</f>
        <v>6.8570000000000002E-3</v>
      </c>
      <c r="Q151" s="11">
        <f>+ROUND(LN(H151/H152),6)</f>
        <v>1.9951E-2</v>
      </c>
      <c r="R151" s="3"/>
      <c r="T151" s="5" t="s">
        <v>150</v>
      </c>
      <c r="U151" s="15">
        <f>+ROUND(B$3*EXP(K151),6)</f>
        <v>7.5698049999999997</v>
      </c>
      <c r="V151" s="15">
        <f>+ROUND(C$3*EXP(L151),6)</f>
        <v>9.2879450000000006</v>
      </c>
      <c r="W151" s="15">
        <f>+ROUND(D$3*EXP(M151),6)</f>
        <v>2.77</v>
      </c>
      <c r="X151" s="15">
        <f>+ROUND(E$3*EXP(N151),6)</f>
        <v>1.17594</v>
      </c>
      <c r="Y151" s="15">
        <f>+ROUND(F$3*EXP(O151),6)</f>
        <v>4.9480269999999997</v>
      </c>
      <c r="Z151" s="15">
        <f>+ROUND(G$3*EXP(P151),6)</f>
        <v>4.3597929999999998</v>
      </c>
      <c r="AA151" s="15">
        <f>+ROUND(H$3*EXP(Q151),6)</f>
        <v>3.488918</v>
      </c>
      <c r="AB151" s="1">
        <v>149</v>
      </c>
      <c r="AC151" s="5" t="s">
        <v>150</v>
      </c>
      <c r="AD151" s="16">
        <f>+ROUND(Pozisyon!$U$4*('Data - Simülasyon- P&amp;L'!U151-'Data - Simülasyon- P&amp;L'!B$3),6)</f>
        <v>-4348.08</v>
      </c>
      <c r="AE151" s="16">
        <f>+ROUND(Pozisyon!$U$5*('Data - Simülasyon- P&amp;L'!V151-'Data - Simülasyon- P&amp;L'!C$3),6)</f>
        <v>-1551.375</v>
      </c>
      <c r="AF151" s="16">
        <f>+ROUND(Pozisyon!$U$6*('Data - Simülasyon- P&amp;L'!W151-'Data - Simülasyon- P&amp;L'!D$3),6)</f>
        <v>0</v>
      </c>
      <c r="AG151" s="16">
        <f>+ROUND(Pozisyon!$U$7*('Data - Simülasyon- P&amp;L'!X151-'Data - Simülasyon- P&amp;L'!E$3),6)</f>
        <v>9156.82</v>
      </c>
      <c r="AH151" s="16">
        <f>+ROUND(Pozisyon!$U$8*('Data - Simülasyon- P&amp;L'!Y151-'Data - Simülasyon- P&amp;L'!F$3),6)</f>
        <v>-6842.2219999999998</v>
      </c>
      <c r="AI151" s="16">
        <f>+ROUND(Pozisyon!$U$9*('Data - Simülasyon- P&amp;L'!Z151-'Data - Simülasyon- P&amp;L'!G$3),6)</f>
        <v>8967.6929999999993</v>
      </c>
      <c r="AJ151" s="16">
        <f>+ROUND(Pozisyon!$U$10*('Data - Simülasyon- P&amp;L'!AA151-'Data - Simülasyon- P&amp;L'!H$3),6)</f>
        <v>24190.218000000001</v>
      </c>
      <c r="AK151" s="16">
        <f>+SUM(AD151:AJ151)</f>
        <v>29573.054</v>
      </c>
      <c r="AL151" s="16">
        <f>+SMALL($AK$3:$AK$254,AB151)</f>
        <v>21436.882000000001</v>
      </c>
    </row>
    <row r="152" spans="1:38" ht="15" thickBot="1" x14ac:dyDescent="0.35">
      <c r="A152" s="5" t="s">
        <v>433</v>
      </c>
      <c r="B152" s="6">
        <v>7.55</v>
      </c>
      <c r="C152" s="5">
        <v>9.0399999999999991</v>
      </c>
      <c r="D152" s="6">
        <v>4.04</v>
      </c>
      <c r="E152" s="5">
        <v>1.33</v>
      </c>
      <c r="F152" s="5">
        <v>6.23</v>
      </c>
      <c r="G152" s="5">
        <v>4.3600000000000003</v>
      </c>
      <c r="H152" s="5">
        <v>3.97</v>
      </c>
      <c r="J152" s="5" t="s">
        <v>433</v>
      </c>
      <c r="K152" s="11">
        <f>+ROUND(LN(B152/B153),6)</f>
        <v>-5.2839999999999996E-3</v>
      </c>
      <c r="L152" s="11">
        <f>+ROUND(LN(C152/C153),6)</f>
        <v>-2.7279000000000001E-2</v>
      </c>
      <c r="M152" s="11">
        <f>+ROUND(LN(D152/D153),6)</f>
        <v>4.299E-2</v>
      </c>
      <c r="N152" s="11">
        <f>+ROUND(LN(E152/E153),6)</f>
        <v>2.2814999999999998E-2</v>
      </c>
      <c r="O152" s="11">
        <f>+ROUND(LN(F152/F153),6)</f>
        <v>0</v>
      </c>
      <c r="P152" s="11">
        <f>+ROUND(LN(G152/G153),6)</f>
        <v>-1.5928000000000001E-2</v>
      </c>
      <c r="Q152" s="11">
        <f>+ROUND(LN(H152/H153),6)</f>
        <v>5.0509999999999999E-3</v>
      </c>
      <c r="R152" s="3"/>
      <c r="T152" s="5" t="s">
        <v>151</v>
      </c>
      <c r="U152" s="15">
        <f>+ROUND(B$3*EXP(K152),6)</f>
        <v>7.5599480000000003</v>
      </c>
      <c r="V152" s="15">
        <f>+ROUND(C$3*EXP(L152),6)</f>
        <v>9.0983889999999992</v>
      </c>
      <c r="W152" s="15">
        <f>+ROUND(D$3*EXP(M152),6)</f>
        <v>2.8916789999999999</v>
      </c>
      <c r="X152" s="15">
        <f>+ROUND(E$3*EXP(N152),6)</f>
        <v>1.176539</v>
      </c>
      <c r="Y152" s="15">
        <f>+ROUND(F$3*EXP(O152),6)</f>
        <v>4.9800000000000004</v>
      </c>
      <c r="Z152" s="15">
        <f>+ROUND(G$3*EXP(P152),6)</f>
        <v>4.2615780000000001</v>
      </c>
      <c r="AA152" s="15">
        <f>+ROUND(H$3*EXP(Q152),6)</f>
        <v>3.4373179999999999</v>
      </c>
      <c r="AB152" s="1">
        <v>150</v>
      </c>
      <c r="AC152" s="5" t="s">
        <v>151</v>
      </c>
      <c r="AD152" s="16">
        <f>+ROUND(Pozisyon!$U$4*('Data - Simülasyon- P&amp;L'!U152-'Data - Simülasyon- P&amp;L'!B$3),6)</f>
        <v>-5767.4880000000003</v>
      </c>
      <c r="AE152" s="16">
        <f>+ROUND(Pozisyon!$U$5*('Data - Simülasyon- P&amp;L'!V152-'Data - Simülasyon- P&amp;L'!C$3),6)</f>
        <v>-6290.2749999999996</v>
      </c>
      <c r="AF152" s="16">
        <f>+ROUND(Pozisyon!$U$6*('Data - Simülasyon- P&amp;L'!W152-'Data - Simülasyon- P&amp;L'!D$3),6)</f>
        <v>2281.4812499999998</v>
      </c>
      <c r="AG152" s="16">
        <f>+ROUND(Pozisyon!$U$7*('Data - Simülasyon- P&amp;L'!X152-'Data - Simülasyon- P&amp;L'!E$3),6)</f>
        <v>9368.2669999999998</v>
      </c>
      <c r="AH152" s="16">
        <f>+ROUND(Pozisyon!$U$8*('Data - Simülasyon- P&amp;L'!Y152-'Data - Simülasyon- P&amp;L'!F$3),6)</f>
        <v>0</v>
      </c>
      <c r="AI152" s="16">
        <f>+ROUND(Pozisyon!$U$9*('Data - Simülasyon- P&amp;L'!Z152-'Data - Simülasyon- P&amp;L'!G$3),6)</f>
        <v>-20595.022000000001</v>
      </c>
      <c r="AJ152" s="16">
        <f>+ROUND(Pozisyon!$U$10*('Data - Simülasyon- P&amp;L'!AA152-'Data - Simülasyon- P&amp;L'!H$3),6)</f>
        <v>6078.6180000000004</v>
      </c>
      <c r="AK152" s="16">
        <f>+SUM(AD152:AJ152)</f>
        <v>-14924.418749999999</v>
      </c>
      <c r="AL152" s="16">
        <f>+SMALL($AK$3:$AK$254,AB152)</f>
        <v>21657.467000000001</v>
      </c>
    </row>
    <row r="153" spans="1:38" ht="15" thickBot="1" x14ac:dyDescent="0.35">
      <c r="A153" s="5" t="s">
        <v>434</v>
      </c>
      <c r="B153" s="6">
        <v>7.59</v>
      </c>
      <c r="C153" s="5">
        <v>9.2899999999999991</v>
      </c>
      <c r="D153" s="6">
        <v>3.87</v>
      </c>
      <c r="E153" s="5">
        <v>1.3</v>
      </c>
      <c r="F153" s="5">
        <v>6.23</v>
      </c>
      <c r="G153" s="5">
        <v>4.43</v>
      </c>
      <c r="H153" s="5">
        <v>3.95</v>
      </c>
      <c r="J153" s="5" t="s">
        <v>434</v>
      </c>
      <c r="K153" s="11">
        <f>+ROUND(LN(B153/B154),6)</f>
        <v>-1.5687E-2</v>
      </c>
      <c r="L153" s="11">
        <f>+ROUND(LN(C153/C154),6)</f>
        <v>-9.6410000000000003E-3</v>
      </c>
      <c r="M153" s="11">
        <f>+ROUND(LN(D153/D154),6)</f>
        <v>0</v>
      </c>
      <c r="N153" s="11">
        <f>+ROUND(LN(E153/E154),6)</f>
        <v>-7.6629999999999997E-3</v>
      </c>
      <c r="O153" s="11">
        <f>+ROUND(LN(F153/F154),6)</f>
        <v>-6.4000000000000003E-3</v>
      </c>
      <c r="P153" s="11">
        <f>+ROUND(LN(G153/G154),6)</f>
        <v>-6.7489999999999998E-3</v>
      </c>
      <c r="Q153" s="11">
        <f>+ROUND(LN(H153/H154),6)</f>
        <v>0</v>
      </c>
      <c r="R153" s="3"/>
      <c r="T153" s="5" t="s">
        <v>152</v>
      </c>
      <c r="U153" s="15">
        <f>+ROUND(B$3*EXP(K153),6)</f>
        <v>7.4817090000000004</v>
      </c>
      <c r="V153" s="15">
        <f>+ROUND(C$3*EXP(L153),6)</f>
        <v>9.2602899999999995</v>
      </c>
      <c r="W153" s="15">
        <f>+ROUND(D$3*EXP(M153),6)</f>
        <v>2.77</v>
      </c>
      <c r="X153" s="15">
        <f>+ROUND(E$3*EXP(N153),6)</f>
        <v>1.141221</v>
      </c>
      <c r="Y153" s="15">
        <f>+ROUND(F$3*EXP(O153),6)</f>
        <v>4.9482299999999997</v>
      </c>
      <c r="Z153" s="15">
        <f>+ROUND(G$3*EXP(P153),6)</f>
        <v>4.3008749999999996</v>
      </c>
      <c r="AA153" s="15">
        <f>+ROUND(H$3*EXP(Q153),6)</f>
        <v>3.42</v>
      </c>
      <c r="AB153" s="1">
        <v>151</v>
      </c>
      <c r="AC153" s="5" t="s">
        <v>152</v>
      </c>
      <c r="AD153" s="16">
        <f>+ROUND(Pozisyon!$U$4*('Data - Simülasyon- P&amp;L'!U153-'Data - Simülasyon- P&amp;L'!B$3),6)</f>
        <v>-17033.903999999999</v>
      </c>
      <c r="AE153" s="16">
        <f>+ROUND(Pozisyon!$U$5*('Data - Simülasyon- P&amp;L'!V153-'Data - Simülasyon- P&amp;L'!C$3),6)</f>
        <v>-2242.75</v>
      </c>
      <c r="AF153" s="16">
        <f>+ROUND(Pozisyon!$U$6*('Data - Simülasyon- P&amp;L'!W153-'Data - Simülasyon- P&amp;L'!D$3),6)</f>
        <v>0</v>
      </c>
      <c r="AG153" s="16">
        <f>+ROUND(Pozisyon!$U$7*('Data - Simülasyon- P&amp;L'!X153-'Data - Simülasyon- P&amp;L'!E$3),6)</f>
        <v>-3098.9870000000001</v>
      </c>
      <c r="AH153" s="16">
        <f>+ROUND(Pozisyon!$U$8*('Data - Simülasyon- P&amp;L'!Y153-'Data - Simülasyon- P&amp;L'!F$3),6)</f>
        <v>-6798.78</v>
      </c>
      <c r="AI153" s="16">
        <f>+ROUND(Pozisyon!$U$9*('Data - Simülasyon- P&amp;L'!Z153-'Data - Simülasyon- P&amp;L'!G$3),6)</f>
        <v>-8766.625</v>
      </c>
      <c r="AJ153" s="16">
        <f>+ROUND(Pozisyon!$U$10*('Data - Simülasyon- P&amp;L'!AA153-'Data - Simülasyon- P&amp;L'!H$3),6)</f>
        <v>0</v>
      </c>
      <c r="AK153" s="16">
        <f>+SUM(AD153:AJ153)</f>
        <v>-37941.046000000002</v>
      </c>
      <c r="AL153" s="16">
        <f>+SMALL($AK$3:$AK$254,AB153)</f>
        <v>21793.603000000003</v>
      </c>
    </row>
    <row r="154" spans="1:38" ht="15" thickBot="1" x14ac:dyDescent="0.35">
      <c r="A154" s="5" t="s">
        <v>435</v>
      </c>
      <c r="B154" s="6">
        <v>7.71</v>
      </c>
      <c r="C154" s="5">
        <v>9.3800000000000008</v>
      </c>
      <c r="D154" s="6">
        <v>3.87</v>
      </c>
      <c r="E154" s="5">
        <v>1.31</v>
      </c>
      <c r="F154" s="5">
        <v>6.27</v>
      </c>
      <c r="G154" s="5">
        <v>4.46</v>
      </c>
      <c r="H154" s="5">
        <v>3.95</v>
      </c>
      <c r="J154" s="5" t="s">
        <v>435</v>
      </c>
      <c r="K154" s="11">
        <f>+ROUND(LN(B154/B155),6)</f>
        <v>4.3744999999999999E-2</v>
      </c>
      <c r="L154" s="11">
        <f>+ROUND(LN(C154/C155),6)</f>
        <v>4.1355000000000003E-2</v>
      </c>
      <c r="M154" s="11">
        <f>+ROUND(LN(D154/D155),6)</f>
        <v>0</v>
      </c>
      <c r="N154" s="11">
        <f>+ROUND(LN(E154/E155),6)</f>
        <v>1.5384999999999999E-2</v>
      </c>
      <c r="O154" s="11">
        <f>+ROUND(LN(F154/F155),6)</f>
        <v>1.9324000000000001E-2</v>
      </c>
      <c r="P154" s="11">
        <f>+ROUND(LN(G154/G155),6)</f>
        <v>7.2040000000000007E-2</v>
      </c>
      <c r="Q154" s="11">
        <f>+ROUND(LN(H154/H155),6)</f>
        <v>4.1349999999999998E-2</v>
      </c>
      <c r="R154" s="3"/>
      <c r="T154" s="5" t="s">
        <v>153</v>
      </c>
      <c r="U154" s="15">
        <f>+ROUND(B$3*EXP(K154),6)</f>
        <v>7.9398410000000004</v>
      </c>
      <c r="V154" s="15">
        <f>+ROUND(C$3*EXP(L154),6)</f>
        <v>9.7447759999999999</v>
      </c>
      <c r="W154" s="15">
        <f>+ROUND(D$3*EXP(M154),6)</f>
        <v>2.77</v>
      </c>
      <c r="X154" s="15">
        <f>+ROUND(E$3*EXP(N154),6)</f>
        <v>1.1678299999999999</v>
      </c>
      <c r="Y154" s="15">
        <f>+ROUND(F$3*EXP(O154),6)</f>
        <v>5.0771689999999996</v>
      </c>
      <c r="Z154" s="15">
        <f>+ROUND(G$3*EXP(P154),6)</f>
        <v>4.6534440000000004</v>
      </c>
      <c r="AA154" s="15">
        <f>+ROUND(H$3*EXP(Q154),6)</f>
        <v>3.5643820000000002</v>
      </c>
      <c r="AB154" s="1">
        <v>152</v>
      </c>
      <c r="AC154" s="5" t="s">
        <v>153</v>
      </c>
      <c r="AD154" s="16">
        <f>+ROUND(Pozisyon!$U$4*('Data - Simülasyon- P&amp;L'!U154-'Data - Simülasyon- P&amp;L'!B$3),6)</f>
        <v>48937.103999999999</v>
      </c>
      <c r="AE154" s="16">
        <f>+ROUND(Pozisyon!$U$5*('Data - Simülasyon- P&amp;L'!V154-'Data - Simülasyon- P&amp;L'!C$3),6)</f>
        <v>9869.4</v>
      </c>
      <c r="AF154" s="16">
        <f>+ROUND(Pozisyon!$U$6*('Data - Simülasyon- P&amp;L'!W154-'Data - Simülasyon- P&amp;L'!D$3),6)</f>
        <v>0</v>
      </c>
      <c r="AG154" s="16">
        <f>+ROUND(Pozisyon!$U$7*('Data - Simülasyon- P&amp;L'!X154-'Data - Simülasyon- P&amp;L'!E$3),6)</f>
        <v>6293.99</v>
      </c>
      <c r="AH154" s="16">
        <f>+ROUND(Pozisyon!$U$8*('Data - Simülasyon- P&amp;L'!Y154-'Data - Simülasyon- P&amp;L'!F$3),6)</f>
        <v>20794.166000000001</v>
      </c>
      <c r="AI154" s="16">
        <f>+ROUND(Pozisyon!$U$9*('Data - Simülasyon- P&amp;L'!Z154-'Data - Simülasyon- P&amp;L'!G$3),6)</f>
        <v>97356.644</v>
      </c>
      <c r="AJ154" s="16">
        <f>+ROUND(Pozisyon!$U$10*('Data - Simülasyon- P&amp;L'!AA154-'Data - Simülasyon- P&amp;L'!H$3),6)</f>
        <v>50678.082000000002</v>
      </c>
      <c r="AK154" s="16">
        <f>+SUM(AD154:AJ154)</f>
        <v>233929.386</v>
      </c>
      <c r="AL154" s="16">
        <f>+SMALL($AK$3:$AK$254,AB154)</f>
        <v>22108.37225</v>
      </c>
    </row>
    <row r="155" spans="1:38" ht="15" thickBot="1" x14ac:dyDescent="0.35">
      <c r="A155" s="5" t="s">
        <v>436</v>
      </c>
      <c r="B155" s="6">
        <v>7.38</v>
      </c>
      <c r="C155" s="5">
        <v>9</v>
      </c>
      <c r="D155" s="6">
        <v>3.87</v>
      </c>
      <c r="E155" s="5">
        <v>1.29</v>
      </c>
      <c r="F155" s="5">
        <v>6.15</v>
      </c>
      <c r="G155" s="5">
        <v>4.1500000000000004</v>
      </c>
      <c r="H155" s="5">
        <v>3.79</v>
      </c>
      <c r="J155" s="5" t="s">
        <v>436</v>
      </c>
      <c r="K155" s="11">
        <f>+ROUND(LN(B155/B156),6)</f>
        <v>1.3643000000000001E-2</v>
      </c>
      <c r="L155" s="11">
        <f>+ROUND(LN(C155/C156),6)</f>
        <v>1.005E-2</v>
      </c>
      <c r="M155" s="11">
        <f>+ROUND(LN(D155/D156),6)</f>
        <v>7.7819999999999999E-3</v>
      </c>
      <c r="N155" s="11">
        <f>+ROUND(LN(E155/E156),6)</f>
        <v>-1.5384999999999999E-2</v>
      </c>
      <c r="O155" s="11">
        <f>+ROUND(LN(F155/F156),6)</f>
        <v>1.4742E-2</v>
      </c>
      <c r="P155" s="11">
        <f>+ROUND(LN(G155/G156),6)</f>
        <v>7.2550000000000002E-3</v>
      </c>
      <c r="Q155" s="11">
        <f>+ROUND(LN(H155/H156),6)</f>
        <v>1.328E-2</v>
      </c>
      <c r="R155" s="3"/>
      <c r="T155" s="5" t="s">
        <v>154</v>
      </c>
      <c r="U155" s="15">
        <f>+ROUND(B$3*EXP(K155),6)</f>
        <v>7.7043970000000002</v>
      </c>
      <c r="V155" s="15">
        <f>+ROUND(C$3*EXP(L155),6)</f>
        <v>9.4444409999999994</v>
      </c>
      <c r="W155" s="15">
        <f>+ROUND(D$3*EXP(M155),6)</f>
        <v>2.7916400000000001</v>
      </c>
      <c r="X155" s="15">
        <f>+ROUND(E$3*EXP(N155),6)</f>
        <v>1.1324430000000001</v>
      </c>
      <c r="Y155" s="15">
        <f>+ROUND(F$3*EXP(O155),6)</f>
        <v>5.0539589999999999</v>
      </c>
      <c r="Z155" s="15">
        <f>+ROUND(G$3*EXP(P155),6)</f>
        <v>4.3615279999999998</v>
      </c>
      <c r="AA155" s="15">
        <f>+ROUND(H$3*EXP(Q155),6)</f>
        <v>3.4657209999999998</v>
      </c>
      <c r="AB155" s="1">
        <v>153</v>
      </c>
      <c r="AC155" s="5" t="s">
        <v>154</v>
      </c>
      <c r="AD155" s="16">
        <f>+ROUND(Pozisyon!$U$4*('Data - Simülasyon- P&amp;L'!U155-'Data - Simülasyon- P&amp;L'!B$3),6)</f>
        <v>15033.168</v>
      </c>
      <c r="AE155" s="16">
        <f>+ROUND(Pozisyon!$U$5*('Data - Simülasyon- P&amp;L'!V155-'Data - Simülasyon- P&amp;L'!C$3),6)</f>
        <v>2361.0250000000001</v>
      </c>
      <c r="AF155" s="16">
        <f>+ROUND(Pozisyon!$U$6*('Data - Simülasyon- P&amp;L'!W155-'Data - Simülasyon- P&amp;L'!D$3),6)</f>
        <v>405.75</v>
      </c>
      <c r="AG155" s="16">
        <f>+ROUND(Pozisyon!$U$7*('Data - Simülasyon- P&amp;L'!X155-'Data - Simülasyon- P&amp;L'!E$3),6)</f>
        <v>-6197.6210000000001</v>
      </c>
      <c r="AH155" s="16">
        <f>+ROUND(Pozisyon!$U$8*('Data - Simülasyon- P&amp;L'!Y155-'Data - Simülasyon- P&amp;L'!F$3),6)</f>
        <v>15827.226000000001</v>
      </c>
      <c r="AI155" s="16">
        <f>+ROUND(Pozisyon!$U$9*('Data - Simülasyon- P&amp;L'!Z155-'Data - Simülasyon- P&amp;L'!G$3),6)</f>
        <v>9489.9279999999999</v>
      </c>
      <c r="AJ155" s="16">
        <f>+ROUND(Pozisyon!$U$10*('Data - Simülasyon- P&amp;L'!AA155-'Data - Simülasyon- P&amp;L'!H$3),6)</f>
        <v>16048.071</v>
      </c>
      <c r="AK155" s="16">
        <f>+SUM(AD155:AJ155)</f>
        <v>52967.547000000006</v>
      </c>
      <c r="AL155" s="16">
        <f>+SMALL($AK$3:$AK$254,AB155)</f>
        <v>22240.18375</v>
      </c>
    </row>
    <row r="156" spans="1:38" ht="15" thickBot="1" x14ac:dyDescent="0.35">
      <c r="A156" s="5" t="s">
        <v>437</v>
      </c>
      <c r="B156" s="6">
        <v>7.28</v>
      </c>
      <c r="C156" s="5">
        <v>8.91</v>
      </c>
      <c r="D156" s="6">
        <v>3.84</v>
      </c>
      <c r="E156" s="5">
        <v>1.31</v>
      </c>
      <c r="F156" s="5">
        <v>6.06</v>
      </c>
      <c r="G156" s="5">
        <v>4.12</v>
      </c>
      <c r="H156" s="5">
        <v>3.74</v>
      </c>
      <c r="J156" s="5" t="s">
        <v>437</v>
      </c>
      <c r="K156" s="11">
        <f>+ROUND(LN(B156/B157),6)</f>
        <v>-2.4424999999999999E-2</v>
      </c>
      <c r="L156" s="11">
        <f>+ROUND(LN(C156/C157),6)</f>
        <v>-2.3296000000000001E-2</v>
      </c>
      <c r="M156" s="11">
        <f>+ROUND(LN(D156/D157),6)</f>
        <v>-2.0618999999999998E-2</v>
      </c>
      <c r="N156" s="11">
        <f>+ROUND(LN(E156/E157),6)</f>
        <v>-1.5152000000000001E-2</v>
      </c>
      <c r="O156" s="11">
        <f>+ROUND(LN(F156/F157),6)</f>
        <v>-1.3115E-2</v>
      </c>
      <c r="P156" s="11">
        <f>+ROUND(LN(G156/G157),6)</f>
        <v>-5.6619000000000003E-2</v>
      </c>
      <c r="Q156" s="11">
        <f>+ROUND(LN(H156/H157),6)</f>
        <v>-5.4629999999999998E-2</v>
      </c>
      <c r="R156" s="3"/>
      <c r="T156" s="5" t="s">
        <v>155</v>
      </c>
      <c r="U156" s="15">
        <f>+ROUND(B$3*EXP(K156),6)</f>
        <v>7.4166189999999999</v>
      </c>
      <c r="V156" s="15">
        <f>+ROUND(C$3*EXP(L156),6)</f>
        <v>9.1347000000000005</v>
      </c>
      <c r="W156" s="15">
        <f>+ROUND(D$3*EXP(M156),6)</f>
        <v>2.71347</v>
      </c>
      <c r="X156" s="15">
        <f>+ROUND(E$3*EXP(N156),6)</f>
        <v>1.1327069999999999</v>
      </c>
      <c r="Y156" s="15">
        <f>+ROUND(F$3*EXP(O156),6)</f>
        <v>4.915114</v>
      </c>
      <c r="Z156" s="15">
        <f>+ROUND(G$3*EXP(P156),6)</f>
        <v>4.0916509999999997</v>
      </c>
      <c r="AA156" s="15">
        <f>+ROUND(H$3*EXP(Q156),6)</f>
        <v>3.2381769999999999</v>
      </c>
      <c r="AB156" s="1">
        <v>154</v>
      </c>
      <c r="AC156" s="5" t="s">
        <v>155</v>
      </c>
      <c r="AD156" s="16">
        <f>+ROUND(Pozisyon!$U$4*('Data - Simülasyon- P&amp;L'!U156-'Data - Simülasyon- P&amp;L'!B$3),6)</f>
        <v>-26406.864000000001</v>
      </c>
      <c r="AE156" s="16">
        <f>+ROUND(Pozisyon!$U$5*('Data - Simülasyon- P&amp;L'!V156-'Data - Simülasyon- P&amp;L'!C$3),6)</f>
        <v>-5382.5</v>
      </c>
      <c r="AF156" s="16">
        <f>+ROUND(Pozisyon!$U$6*('Data - Simülasyon- P&amp;L'!W156-'Data - Simülasyon- P&amp;L'!D$3),6)</f>
        <v>-1059.9375</v>
      </c>
      <c r="AG156" s="16">
        <f>+ROUND(Pozisyon!$U$7*('Data - Simülasyon- P&amp;L'!X156-'Data - Simülasyon- P&amp;L'!E$3),6)</f>
        <v>-6104.4290000000001</v>
      </c>
      <c r="AH156" s="16">
        <f>+ROUND(Pozisyon!$U$8*('Data - Simülasyon- P&amp;L'!Y156-'Data - Simülasyon- P&amp;L'!F$3),6)</f>
        <v>-13885.603999999999</v>
      </c>
      <c r="AI156" s="16">
        <f>+ROUND(Pozisyon!$U$9*('Data - Simülasyon- P&amp;L'!Z156-'Data - Simülasyon- P&amp;L'!G$3),6)</f>
        <v>-71743.048999999999</v>
      </c>
      <c r="AJ156" s="16">
        <f>+ROUND(Pozisyon!$U$10*('Data - Simülasyon- P&amp;L'!AA156-'Data - Simülasyon- P&amp;L'!H$3),6)</f>
        <v>-63819.873</v>
      </c>
      <c r="AK156" s="16">
        <f>+SUM(AD156:AJ156)</f>
        <v>-188402.25649999999</v>
      </c>
      <c r="AL156" s="16">
        <f>+SMALL($AK$3:$AK$254,AB156)</f>
        <v>22316.387750000002</v>
      </c>
    </row>
    <row r="157" spans="1:38" ht="15" thickBot="1" x14ac:dyDescent="0.35">
      <c r="A157" s="5" t="s">
        <v>438</v>
      </c>
      <c r="B157" s="6">
        <v>7.46</v>
      </c>
      <c r="C157" s="5">
        <v>9.1199999999999992</v>
      </c>
      <c r="D157" s="6">
        <v>3.92</v>
      </c>
      <c r="E157" s="5">
        <v>1.33</v>
      </c>
      <c r="F157" s="5">
        <v>6.14</v>
      </c>
      <c r="G157" s="5">
        <v>4.3600000000000003</v>
      </c>
      <c r="H157" s="5">
        <v>3.95</v>
      </c>
      <c r="J157" s="5" t="s">
        <v>438</v>
      </c>
      <c r="K157" s="11">
        <f>+ROUND(LN(B157/B158),6)</f>
        <v>0</v>
      </c>
      <c r="L157" s="11">
        <f>+ROUND(LN(C157/C158),6)</f>
        <v>-4.3759999999999997E-3</v>
      </c>
      <c r="M157" s="11">
        <f>+ROUND(LN(D157/D158),6)</f>
        <v>-7.6239999999999997E-3</v>
      </c>
      <c r="N157" s="11">
        <f>+ROUND(LN(E157/E158),6)</f>
        <v>4.6162000000000002E-2</v>
      </c>
      <c r="O157" s="11">
        <f>+ROUND(LN(F157/F158),6)</f>
        <v>-1.6154999999999999E-2</v>
      </c>
      <c r="P157" s="11">
        <f>+ROUND(LN(G157/G158),6)</f>
        <v>-1.1403E-2</v>
      </c>
      <c r="Q157" s="11">
        <f>+ROUND(LN(H157/H158),6)</f>
        <v>2.5349999999999999E-3</v>
      </c>
      <c r="R157" s="3"/>
      <c r="T157" s="5" t="s">
        <v>156</v>
      </c>
      <c r="U157" s="15">
        <f>+ROUND(B$3*EXP(K157),6)</f>
        <v>7.6</v>
      </c>
      <c r="V157" s="15">
        <f>+ROUND(C$3*EXP(L157),6)</f>
        <v>9.3091740000000005</v>
      </c>
      <c r="W157" s="15">
        <f>+ROUND(D$3*EXP(M157),6)</f>
        <v>2.7489620000000001</v>
      </c>
      <c r="X157" s="15">
        <f>+ROUND(E$3*EXP(N157),6)</f>
        <v>1.204331</v>
      </c>
      <c r="Y157" s="15">
        <f>+ROUND(F$3*EXP(O157),6)</f>
        <v>4.9001939999999999</v>
      </c>
      <c r="Z157" s="15">
        <f>+ROUND(G$3*EXP(P157),6)</f>
        <v>4.2809049999999997</v>
      </c>
      <c r="AA157" s="15">
        <f>+ROUND(H$3*EXP(Q157),6)</f>
        <v>3.4286810000000001</v>
      </c>
      <c r="AB157" s="1">
        <v>155</v>
      </c>
      <c r="AC157" s="5" t="s">
        <v>156</v>
      </c>
      <c r="AD157" s="16">
        <f>+ROUND(Pozisyon!$U$4*('Data - Simülasyon- P&amp;L'!U157-'Data - Simülasyon- P&amp;L'!B$3),6)</f>
        <v>0</v>
      </c>
      <c r="AE157" s="16">
        <f>+ROUND(Pozisyon!$U$5*('Data - Simülasyon- P&amp;L'!V157-'Data - Simülasyon- P&amp;L'!C$3),6)</f>
        <v>-1020.65</v>
      </c>
      <c r="AF157" s="16">
        <f>+ROUND(Pozisyon!$U$6*('Data - Simülasyon- P&amp;L'!W157-'Data - Simülasyon- P&amp;L'!D$3),6)</f>
        <v>-394.46249999999998</v>
      </c>
      <c r="AG157" s="16">
        <f>+ROUND(Pozisyon!$U$7*('Data - Simülasyon- P&amp;L'!X157-'Data - Simülasyon- P&amp;L'!E$3),6)</f>
        <v>19178.843000000001</v>
      </c>
      <c r="AH157" s="16">
        <f>+ROUND(Pozisyon!$U$8*('Data - Simülasyon- P&amp;L'!Y157-'Data - Simülasyon- P&amp;L'!F$3),6)</f>
        <v>-17078.484</v>
      </c>
      <c r="AI157" s="16">
        <f>+ROUND(Pozisyon!$U$9*('Data - Simülasyon- P&amp;L'!Z157-'Data - Simülasyon- P&amp;L'!G$3),6)</f>
        <v>-14777.594999999999</v>
      </c>
      <c r="AJ157" s="16">
        <f>+ROUND(Pozisyon!$U$10*('Data - Simülasyon- P&amp;L'!AA157-'Data - Simülasyon- P&amp;L'!H$3),6)</f>
        <v>3047.0309999999999</v>
      </c>
      <c r="AK157" s="16">
        <f>+SUM(AD157:AJ157)</f>
        <v>-11045.317499999997</v>
      </c>
      <c r="AL157" s="16">
        <f>+SMALL($AK$3:$AK$254,AB157)</f>
        <v>22416.5965</v>
      </c>
    </row>
    <row r="158" spans="1:38" ht="15" thickBot="1" x14ac:dyDescent="0.35">
      <c r="A158" s="5" t="s">
        <v>439</v>
      </c>
      <c r="B158" s="6">
        <v>7.46</v>
      </c>
      <c r="C158" s="5">
        <v>9.16</v>
      </c>
      <c r="D158" s="6">
        <v>3.95</v>
      </c>
      <c r="E158" s="5">
        <v>1.27</v>
      </c>
      <c r="F158" s="5">
        <v>6.24</v>
      </c>
      <c r="G158" s="5">
        <v>4.41</v>
      </c>
      <c r="H158" s="5">
        <v>3.94</v>
      </c>
      <c r="J158" s="5" t="s">
        <v>439</v>
      </c>
      <c r="K158" s="11">
        <f>+ROUND(LN(B158/B159),6)</f>
        <v>1.0782E-2</v>
      </c>
      <c r="L158" s="11">
        <f>+ROUND(LN(C158/C159),6)</f>
        <v>-3.2699999999999999E-3</v>
      </c>
      <c r="M158" s="11">
        <f>+ROUND(LN(D158/D159),6)</f>
        <v>-1.2579E-2</v>
      </c>
      <c r="N158" s="11">
        <f>+ROUND(LN(E158/E159),6)</f>
        <v>3.2002999999999997E-2</v>
      </c>
      <c r="O158" s="11">
        <f>+ROUND(LN(F158/F159),6)</f>
        <v>1.9418000000000001E-2</v>
      </c>
      <c r="P158" s="11">
        <f>+ROUND(LN(G158/G159),6)</f>
        <v>6.8259999999999996E-3</v>
      </c>
      <c r="Q158" s="11">
        <f>+ROUND(LN(H158/H159),6)</f>
        <v>5.0889999999999998E-3</v>
      </c>
      <c r="R158" s="3"/>
      <c r="T158" s="5" t="s">
        <v>157</v>
      </c>
      <c r="U158" s="15">
        <f>+ROUND(B$3*EXP(K158),6)</f>
        <v>7.6823870000000003</v>
      </c>
      <c r="V158" s="15">
        <f>+ROUND(C$3*EXP(L158),6)</f>
        <v>9.3194750000000006</v>
      </c>
      <c r="W158" s="15">
        <f>+ROUND(D$3*EXP(M158),6)</f>
        <v>2.7353740000000002</v>
      </c>
      <c r="X158" s="15">
        <f>+ROUND(E$3*EXP(N158),6)</f>
        <v>1.1873990000000001</v>
      </c>
      <c r="Y158" s="15">
        <f>+ROUND(F$3*EXP(O158),6)</f>
        <v>5.0776469999999998</v>
      </c>
      <c r="Z158" s="15">
        <f>+ROUND(G$3*EXP(P158),6)</f>
        <v>4.3596579999999996</v>
      </c>
      <c r="AA158" s="15">
        <f>+ROUND(H$3*EXP(Q158),6)</f>
        <v>3.437449</v>
      </c>
      <c r="AB158" s="1">
        <v>156</v>
      </c>
      <c r="AC158" s="5" t="s">
        <v>157</v>
      </c>
      <c r="AD158" s="16">
        <f>+ROUND(Pozisyon!$U$4*('Data - Simülasyon- P&amp;L'!U158-'Data - Simülasyon- P&amp;L'!B$3),6)</f>
        <v>11863.727999999999</v>
      </c>
      <c r="AE158" s="16">
        <f>+ROUND(Pozisyon!$U$5*('Data - Simülasyon- P&amp;L'!V158-'Data - Simülasyon- P&amp;L'!C$3),6)</f>
        <v>-763.125</v>
      </c>
      <c r="AF158" s="16">
        <f>+ROUND(Pozisyon!$U$6*('Data - Simülasyon- P&amp;L'!W158-'Data - Simülasyon- P&amp;L'!D$3),6)</f>
        <v>-649.23749999999995</v>
      </c>
      <c r="AG158" s="16">
        <f>+ROUND(Pozisyon!$U$7*('Data - Simülasyon- P&amp;L'!X158-'Data - Simülasyon- P&amp;L'!E$3),6)</f>
        <v>13201.847</v>
      </c>
      <c r="AH158" s="16">
        <f>+ROUND(Pozisyon!$U$8*('Data - Simülasyon- P&amp;L'!Y158-'Data - Simülasyon- P&amp;L'!F$3),6)</f>
        <v>20896.457999999999</v>
      </c>
      <c r="AI158" s="16">
        <f>+ROUND(Pozisyon!$U$9*('Data - Simülasyon- P&amp;L'!Z158-'Data - Simülasyon- P&amp;L'!G$3),6)</f>
        <v>8927.0580000000009</v>
      </c>
      <c r="AJ158" s="16">
        <f>+ROUND(Pozisyon!$U$10*('Data - Simülasyon- P&amp;L'!AA158-'Data - Simülasyon- P&amp;L'!H$3),6)</f>
        <v>6124.5990000000002</v>
      </c>
      <c r="AK158" s="16">
        <f>+SUM(AD158:AJ158)</f>
        <v>59601.327499999999</v>
      </c>
      <c r="AL158" s="16">
        <f>+SMALL($AK$3:$AK$254,AB158)</f>
        <v>23152.82375</v>
      </c>
    </row>
    <row r="159" spans="1:38" ht="15" thickBot="1" x14ac:dyDescent="0.35">
      <c r="A159" s="5" t="s">
        <v>440</v>
      </c>
      <c r="B159" s="6">
        <v>7.38</v>
      </c>
      <c r="C159" s="5">
        <v>9.19</v>
      </c>
      <c r="D159" s="6">
        <v>4</v>
      </c>
      <c r="E159" s="5">
        <v>1.23</v>
      </c>
      <c r="F159" s="5">
        <v>6.12</v>
      </c>
      <c r="G159" s="5">
        <v>4.38</v>
      </c>
      <c r="H159" s="5">
        <v>3.92</v>
      </c>
      <c r="J159" s="5" t="s">
        <v>440</v>
      </c>
      <c r="K159" s="11">
        <f>+ROUND(LN(B159/B160),6)</f>
        <v>-1.6129000000000001E-2</v>
      </c>
      <c r="L159" s="11">
        <f>+ROUND(LN(C159/C160),6)</f>
        <v>-2.3657000000000001E-2</v>
      </c>
      <c r="M159" s="11">
        <f>+ROUND(LN(D159/D160),6)</f>
        <v>-2.4970000000000001E-3</v>
      </c>
      <c r="N159" s="11">
        <f>+ROUND(LN(E159/E160),6)</f>
        <v>1.6393999999999999E-2</v>
      </c>
      <c r="O159" s="11">
        <f>+ROUND(LN(F159/F160),6)</f>
        <v>-1.7814E-2</v>
      </c>
      <c r="P159" s="11">
        <f>+ROUND(LN(G159/G160),6)</f>
        <v>-1.3606E-2</v>
      </c>
      <c r="Q159" s="11">
        <f>+ROUND(LN(H159/H160),6)</f>
        <v>-1.519E-2</v>
      </c>
      <c r="R159" s="3"/>
      <c r="T159" s="5" t="s">
        <v>158</v>
      </c>
      <c r="U159" s="15">
        <f>+ROUND(B$3*EXP(K159),6)</f>
        <v>7.4784030000000001</v>
      </c>
      <c r="V159" s="15">
        <f>+ROUND(C$3*EXP(L159),6)</f>
        <v>9.1314030000000006</v>
      </c>
      <c r="W159" s="15">
        <f>+ROUND(D$3*EXP(M159),6)</f>
        <v>2.7630919999999999</v>
      </c>
      <c r="X159" s="15">
        <f>+ROUND(E$3*EXP(N159),6)</f>
        <v>1.169008</v>
      </c>
      <c r="Y159" s="15">
        <f>+ROUND(F$3*EXP(O159),6)</f>
        <v>4.8920719999999998</v>
      </c>
      <c r="Z159" s="15">
        <f>+ROUND(G$3*EXP(P159),6)</f>
        <v>4.2714850000000002</v>
      </c>
      <c r="AA159" s="15">
        <f>+ROUND(H$3*EXP(Q159),6)</f>
        <v>3.3684430000000001</v>
      </c>
      <c r="AB159" s="1">
        <v>157</v>
      </c>
      <c r="AC159" s="5" t="s">
        <v>158</v>
      </c>
      <c r="AD159" s="16">
        <f>+ROUND(Pozisyon!$U$4*('Data - Simülasyon- P&amp;L'!U159-'Data - Simülasyon- P&amp;L'!B$3),6)</f>
        <v>-17509.968000000001</v>
      </c>
      <c r="AE159" s="16">
        <f>+ROUND(Pozisyon!$U$5*('Data - Simülasyon- P&amp;L'!V159-'Data - Simülasyon- P&amp;L'!C$3),6)</f>
        <v>-5464.9250000000002</v>
      </c>
      <c r="AF159" s="16">
        <f>+ROUND(Pozisyon!$U$6*('Data - Simülasyon- P&amp;L'!W159-'Data - Simülasyon- P&amp;L'!D$3),6)</f>
        <v>-129.52500000000001</v>
      </c>
      <c r="AG159" s="16">
        <f>+ROUND(Pozisyon!$U$7*('Data - Simülasyon- P&amp;L'!X159-'Data - Simülasyon- P&amp;L'!E$3),6)</f>
        <v>6709.8239999999996</v>
      </c>
      <c r="AH159" s="16">
        <f>+ROUND(Pozisyon!$U$8*('Data - Simülasyon- P&amp;L'!Y159-'Data - Simülasyon- P&amp;L'!F$3),6)</f>
        <v>-18816.592000000001</v>
      </c>
      <c r="AI159" s="16">
        <f>+ROUND(Pozisyon!$U$9*('Data - Simülasyon- P&amp;L'!Z159-'Data - Simülasyon- P&amp;L'!G$3),6)</f>
        <v>-17613.014999999999</v>
      </c>
      <c r="AJ159" s="16">
        <f>+ROUND(Pozisyon!$U$10*('Data - Simülasyon- P&amp;L'!AA159-'Data - Simülasyon- P&amp;L'!H$3),6)</f>
        <v>-18096.507000000001</v>
      </c>
      <c r="AK159" s="16">
        <f>+SUM(AD159:AJ159)</f>
        <v>-70920.707999999999</v>
      </c>
      <c r="AL159" s="16">
        <f>+SMALL($AK$3:$AK$254,AB159)</f>
        <v>24259.637000000002</v>
      </c>
    </row>
    <row r="160" spans="1:38" ht="15" thickBot="1" x14ac:dyDescent="0.35">
      <c r="A160" s="5" t="s">
        <v>441</v>
      </c>
      <c r="B160" s="6">
        <v>7.5</v>
      </c>
      <c r="C160" s="5">
        <v>9.41</v>
      </c>
      <c r="D160" s="6">
        <v>4.01</v>
      </c>
      <c r="E160" s="5">
        <v>1.21</v>
      </c>
      <c r="F160" s="5">
        <v>6.23</v>
      </c>
      <c r="G160" s="5">
        <v>4.4400000000000004</v>
      </c>
      <c r="H160" s="5">
        <v>3.98</v>
      </c>
      <c r="J160" s="5" t="s">
        <v>441</v>
      </c>
      <c r="K160" s="11">
        <f>+ROUND(LN(B160/B161),6)</f>
        <v>-9.2899999999999996E-3</v>
      </c>
      <c r="L160" s="11">
        <f>+ROUND(LN(C160/C161),6)</f>
        <v>-1.4768E-2</v>
      </c>
      <c r="M160" s="11">
        <f>+ROUND(LN(D160/D161),6)</f>
        <v>0</v>
      </c>
      <c r="N160" s="11">
        <f>+ROUND(LN(E160/E161),6)</f>
        <v>-4.8397000000000003E-2</v>
      </c>
      <c r="O160" s="11">
        <f>+ROUND(LN(F160/F161),6)</f>
        <v>-3.9343999999999997E-2</v>
      </c>
      <c r="P160" s="11">
        <f>+ROUND(LN(G160/G161),6)</f>
        <v>-2.4473000000000002E-2</v>
      </c>
      <c r="Q160" s="11">
        <f>+ROUND(LN(H160/H161),6)</f>
        <v>-2.5089999999999999E-3</v>
      </c>
      <c r="R160" s="3"/>
      <c r="T160" s="5" t="s">
        <v>159</v>
      </c>
      <c r="U160" s="15">
        <f>+ROUND(B$3*EXP(K160),6)</f>
        <v>7.5297229999999997</v>
      </c>
      <c r="V160" s="15">
        <f>+ROUND(C$3*EXP(L160),6)</f>
        <v>9.2129340000000006</v>
      </c>
      <c r="W160" s="15">
        <f>+ROUND(D$3*EXP(M160),6)</f>
        <v>2.77</v>
      </c>
      <c r="X160" s="15">
        <f>+ROUND(E$3*EXP(N160),6)</f>
        <v>1.095669</v>
      </c>
      <c r="Y160" s="15">
        <f>+ROUND(F$3*EXP(O160),6)</f>
        <v>4.787871</v>
      </c>
      <c r="Z160" s="15">
        <f>+ROUND(G$3*EXP(P160),6)</f>
        <v>4.2253179999999997</v>
      </c>
      <c r="AA160" s="15">
        <f>+ROUND(H$3*EXP(Q160),6)</f>
        <v>3.4114300000000002</v>
      </c>
      <c r="AB160" s="1">
        <v>158</v>
      </c>
      <c r="AC160" s="5" t="s">
        <v>159</v>
      </c>
      <c r="AD160" s="16">
        <f>+ROUND(Pozisyon!$U$4*('Data - Simülasyon- P&amp;L'!U160-'Data - Simülasyon- P&amp;L'!B$3),6)</f>
        <v>-10119.888000000001</v>
      </c>
      <c r="AE160" s="16">
        <f>+ROUND(Pozisyon!$U$5*('Data - Simülasyon- P&amp;L'!V160-'Data - Simülasyon- P&amp;L'!C$3),6)</f>
        <v>-3426.65</v>
      </c>
      <c r="AF160" s="16">
        <f>+ROUND(Pozisyon!$U$6*('Data - Simülasyon- P&amp;L'!W160-'Data - Simülasyon- P&amp;L'!D$3),6)</f>
        <v>0</v>
      </c>
      <c r="AG160" s="16">
        <f>+ROUND(Pozisyon!$U$7*('Data - Simülasyon- P&amp;L'!X160-'Data - Simülasyon- P&amp;L'!E$3),6)</f>
        <v>-19178.843000000001</v>
      </c>
      <c r="AH160" s="16">
        <f>+ROUND(Pozisyon!$U$8*('Data - Simülasyon- P&amp;L'!Y160-'Data - Simülasyon- P&amp;L'!F$3),6)</f>
        <v>-41115.606</v>
      </c>
      <c r="AI160" s="16">
        <f>+ROUND(Pozisyon!$U$9*('Data - Simülasyon- P&amp;L'!Z160-'Data - Simülasyon- P&amp;L'!G$3),6)</f>
        <v>-31509.281999999999</v>
      </c>
      <c r="AJ160" s="16">
        <f>+ROUND(Pozisyon!$U$10*('Data - Simülasyon- P&amp;L'!AA160-'Data - Simülasyon- P&amp;L'!H$3),6)</f>
        <v>-3008.07</v>
      </c>
      <c r="AK160" s="16">
        <f>+SUM(AD160:AJ160)</f>
        <v>-108358.33900000001</v>
      </c>
      <c r="AL160" s="16">
        <f>+SMALL($AK$3:$AK$254,AB160)</f>
        <v>24470.233999999997</v>
      </c>
    </row>
    <row r="161" spans="1:38" ht="15" thickBot="1" x14ac:dyDescent="0.35">
      <c r="A161" s="5" t="s">
        <v>442</v>
      </c>
      <c r="B161" s="6">
        <v>7.57</v>
      </c>
      <c r="C161" s="5">
        <v>9.5500000000000007</v>
      </c>
      <c r="D161" s="6">
        <v>4.01</v>
      </c>
      <c r="E161" s="5">
        <v>1.27</v>
      </c>
      <c r="F161" s="5">
        <v>6.48</v>
      </c>
      <c r="G161" s="5">
        <v>4.55</v>
      </c>
      <c r="H161" s="5">
        <v>3.99</v>
      </c>
      <c r="J161" s="5" t="s">
        <v>442</v>
      </c>
      <c r="K161" s="11">
        <f>+ROUND(LN(B161/B162),6)</f>
        <v>1.322E-3</v>
      </c>
      <c r="L161" s="11">
        <f>+ROUND(LN(C161/C162),6)</f>
        <v>5.2490000000000002E-3</v>
      </c>
      <c r="M161" s="11">
        <f>+ROUND(LN(D161/D162),6)</f>
        <v>2.4970000000000001E-3</v>
      </c>
      <c r="N161" s="11">
        <f>+ROUND(LN(E161/E162),6)</f>
        <v>-3.1009999999999999E-2</v>
      </c>
      <c r="O161" s="11">
        <f>+ROUND(LN(F161/F162),6)</f>
        <v>-2.2884000000000002E-2</v>
      </c>
      <c r="P161" s="11">
        <f>+ROUND(LN(G161/G162),6)</f>
        <v>0</v>
      </c>
      <c r="Q161" s="11">
        <f>+ROUND(LN(H161/H162),6)</f>
        <v>0</v>
      </c>
      <c r="R161" s="3"/>
      <c r="T161" s="5" t="s">
        <v>160</v>
      </c>
      <c r="U161" s="15">
        <f>+ROUND(B$3*EXP(K161),6)</f>
        <v>7.6100539999999999</v>
      </c>
      <c r="V161" s="15">
        <f>+ROUND(C$3*EXP(L161),6)</f>
        <v>9.3992070000000005</v>
      </c>
      <c r="W161" s="15">
        <f>+ROUND(D$3*EXP(M161),6)</f>
        <v>2.7769249999999999</v>
      </c>
      <c r="X161" s="15">
        <f>+ROUND(E$3*EXP(N161),6)</f>
        <v>1.114886</v>
      </c>
      <c r="Y161" s="15">
        <f>+ROUND(F$3*EXP(O161),6)</f>
        <v>4.8673320000000002</v>
      </c>
      <c r="Z161" s="15">
        <f>+ROUND(G$3*EXP(P161),6)</f>
        <v>4.33</v>
      </c>
      <c r="AA161" s="15">
        <f>+ROUND(H$3*EXP(Q161),6)</f>
        <v>3.42</v>
      </c>
      <c r="AB161" s="1">
        <v>159</v>
      </c>
      <c r="AC161" s="5" t="s">
        <v>160</v>
      </c>
      <c r="AD161" s="16">
        <f>+ROUND(Pozisyon!$U$4*('Data - Simülasyon- P&amp;L'!U161-'Data - Simülasyon- P&amp;L'!B$3),6)</f>
        <v>1447.7760000000001</v>
      </c>
      <c r="AE161" s="16">
        <f>+ROUND(Pozisyon!$U$5*('Data - Simülasyon- P&amp;L'!V161-'Data - Simülasyon- P&amp;L'!C$3),6)</f>
        <v>1230.175</v>
      </c>
      <c r="AF161" s="16">
        <f>+ROUND(Pozisyon!$U$6*('Data - Simülasyon- P&amp;L'!W161-'Data - Simülasyon- P&amp;L'!D$3),6)</f>
        <v>129.84375</v>
      </c>
      <c r="AG161" s="16">
        <f>+ROUND(Pozisyon!$U$7*('Data - Simülasyon- P&amp;L'!X161-'Data - Simülasyon- P&amp;L'!E$3),6)</f>
        <v>-12395.242</v>
      </c>
      <c r="AH161" s="16">
        <f>+ROUND(Pozisyon!$U$8*('Data - Simülasyon- P&amp;L'!Y161-'Data - Simülasyon- P&amp;L'!F$3),6)</f>
        <v>-24110.952000000001</v>
      </c>
      <c r="AI161" s="16">
        <f>+ROUND(Pozisyon!$U$9*('Data - Simülasyon- P&amp;L'!Z161-'Data - Simülasyon- P&amp;L'!G$3),6)</f>
        <v>0</v>
      </c>
      <c r="AJ161" s="16">
        <f>+ROUND(Pozisyon!$U$10*('Data - Simülasyon- P&amp;L'!AA161-'Data - Simülasyon- P&amp;L'!H$3),6)</f>
        <v>0</v>
      </c>
      <c r="AK161" s="16">
        <f>+SUM(AD161:AJ161)</f>
        <v>-33698.399250000002</v>
      </c>
      <c r="AL161" s="16">
        <f>+SMALL($AK$3:$AK$254,AB161)</f>
        <v>25318.605000000003</v>
      </c>
    </row>
    <row r="162" spans="1:38" ht="15" thickBot="1" x14ac:dyDescent="0.35">
      <c r="A162" s="5" t="s">
        <v>443</v>
      </c>
      <c r="B162" s="6">
        <v>7.56</v>
      </c>
      <c r="C162" s="5">
        <v>9.5</v>
      </c>
      <c r="D162" s="6">
        <v>4</v>
      </c>
      <c r="E162" s="5">
        <v>1.31</v>
      </c>
      <c r="F162" s="5">
        <v>6.63</v>
      </c>
      <c r="G162" s="5">
        <v>4.55</v>
      </c>
      <c r="H162" s="5">
        <v>3.99</v>
      </c>
      <c r="J162" s="5" t="s">
        <v>443</v>
      </c>
      <c r="K162" s="11">
        <f>+ROUND(LN(B162/B163),6)</f>
        <v>-1.322E-3</v>
      </c>
      <c r="L162" s="11">
        <f>+ROUND(LN(C162/C163),6)</f>
        <v>-1.052E-3</v>
      </c>
      <c r="M162" s="11">
        <f>+ROUND(LN(D162/D163),6)</f>
        <v>-2.4970000000000001E-3</v>
      </c>
      <c r="N162" s="11">
        <f>+ROUND(LN(E162/E163),6)</f>
        <v>0</v>
      </c>
      <c r="O162" s="11">
        <f>+ROUND(LN(F162/F163),6)</f>
        <v>-7.5129999999999997E-3</v>
      </c>
      <c r="P162" s="11">
        <f>+ROUND(LN(G162/G163),6)</f>
        <v>1.3275E-2</v>
      </c>
      <c r="Q162" s="11">
        <f>+ROUND(LN(H162/H163),6)</f>
        <v>1.0076E-2</v>
      </c>
      <c r="R162" s="3"/>
      <c r="T162" s="5" t="s">
        <v>161</v>
      </c>
      <c r="U162" s="15">
        <f>+ROUND(B$3*EXP(K162),6)</f>
        <v>7.5899590000000003</v>
      </c>
      <c r="V162" s="15">
        <f>+ROUND(C$3*EXP(L162),6)</f>
        <v>9.3401689999999995</v>
      </c>
      <c r="W162" s="15">
        <f>+ROUND(D$3*EXP(M162),6)</f>
        <v>2.7630919999999999</v>
      </c>
      <c r="X162" s="15">
        <f>+ROUND(E$3*EXP(N162),6)</f>
        <v>1.1499999999999999</v>
      </c>
      <c r="Y162" s="15">
        <f>+ROUND(F$3*EXP(O162),6)</f>
        <v>4.9427250000000003</v>
      </c>
      <c r="Z162" s="15">
        <f>+ROUND(G$3*EXP(P162),6)</f>
        <v>4.3878640000000004</v>
      </c>
      <c r="AA162" s="15">
        <f>+ROUND(H$3*EXP(Q162),6)</f>
        <v>3.454634</v>
      </c>
      <c r="AB162" s="1">
        <v>160</v>
      </c>
      <c r="AC162" s="5" t="s">
        <v>161</v>
      </c>
      <c r="AD162" s="16">
        <f>+ROUND(Pozisyon!$U$4*('Data - Simülasyon- P&amp;L'!U162-'Data - Simülasyon- P&amp;L'!B$3),6)</f>
        <v>-1445.904</v>
      </c>
      <c r="AE162" s="16">
        <f>+ROUND(Pozisyon!$U$5*('Data - Simülasyon- P&amp;L'!V162-'Data - Simülasyon- P&amp;L'!C$3),6)</f>
        <v>-245.77500000000001</v>
      </c>
      <c r="AF162" s="16">
        <f>+ROUND(Pozisyon!$U$6*('Data - Simülasyon- P&amp;L'!W162-'Data - Simülasyon- P&amp;L'!D$3),6)</f>
        <v>-129.52500000000001</v>
      </c>
      <c r="AG162" s="16">
        <f>+ROUND(Pozisyon!$U$7*('Data - Simülasyon- P&amp;L'!X162-'Data - Simülasyon- P&amp;L'!E$3),6)</f>
        <v>0</v>
      </c>
      <c r="AH162" s="16">
        <f>+ROUND(Pozisyon!$U$8*('Data - Simülasyon- P&amp;L'!Y162-'Data - Simülasyon- P&amp;L'!F$3),6)</f>
        <v>-7976.85</v>
      </c>
      <c r="AI162" s="16">
        <f>+ROUND(Pozisyon!$U$9*('Data - Simülasyon- P&amp;L'!Z162-'Data - Simülasyon- P&amp;L'!G$3),6)</f>
        <v>17417.063999999998</v>
      </c>
      <c r="AJ162" s="16">
        <f>+ROUND(Pozisyon!$U$10*('Data - Simülasyon- P&amp;L'!AA162-'Data - Simülasyon- P&amp;L'!H$3),6)</f>
        <v>12156.534</v>
      </c>
      <c r="AK162" s="16">
        <f>+SUM(AD162:AJ162)</f>
        <v>19775.543999999998</v>
      </c>
      <c r="AL162" s="16">
        <f>+SMALL($AK$3:$AK$254,AB162)</f>
        <v>26499.941000000006</v>
      </c>
    </row>
    <row r="163" spans="1:38" ht="15" thickBot="1" x14ac:dyDescent="0.35">
      <c r="A163" s="5" t="s">
        <v>444</v>
      </c>
      <c r="B163" s="6">
        <v>7.57</v>
      </c>
      <c r="C163" s="5">
        <v>9.51</v>
      </c>
      <c r="D163" s="6">
        <v>4.01</v>
      </c>
      <c r="E163" s="5">
        <v>1.31</v>
      </c>
      <c r="F163" s="5">
        <v>6.68</v>
      </c>
      <c r="G163" s="5">
        <v>4.49</v>
      </c>
      <c r="H163" s="5">
        <v>3.95</v>
      </c>
      <c r="J163" s="5" t="s">
        <v>444</v>
      </c>
      <c r="K163" s="11">
        <f>+ROUND(LN(B163/B164),6)</f>
        <v>2.6459999999999999E-3</v>
      </c>
      <c r="L163" s="11">
        <f>+ROUND(LN(C163/C164),6)</f>
        <v>-5.2440000000000004E-3</v>
      </c>
      <c r="M163" s="11">
        <f>+ROUND(LN(D163/D164),6)</f>
        <v>0</v>
      </c>
      <c r="N163" s="11">
        <f>+ROUND(LN(E163/E164),6)</f>
        <v>-3.7457999999999998E-2</v>
      </c>
      <c r="O163" s="11">
        <f>+ROUND(LN(F163/F164),6)</f>
        <v>-2.99E-3</v>
      </c>
      <c r="P163" s="11">
        <f>+ROUND(LN(G163/G164),6)</f>
        <v>1.3453E-2</v>
      </c>
      <c r="Q163" s="11">
        <f>+ROUND(LN(H163/H164),6)</f>
        <v>5.0759999999999998E-3</v>
      </c>
      <c r="R163" s="3"/>
      <c r="T163" s="5" t="s">
        <v>162</v>
      </c>
      <c r="U163" s="15">
        <f>+ROUND(B$3*EXP(K163),6)</f>
        <v>7.6201359999999996</v>
      </c>
      <c r="V163" s="15">
        <f>+ROUND(C$3*EXP(L163),6)</f>
        <v>9.3010970000000004</v>
      </c>
      <c r="W163" s="15">
        <f>+ROUND(D$3*EXP(M163),6)</f>
        <v>2.77</v>
      </c>
      <c r="X163" s="15">
        <f>+ROUND(E$3*EXP(N163),6)</f>
        <v>1.10772</v>
      </c>
      <c r="Y163" s="15">
        <f>+ROUND(F$3*EXP(O163),6)</f>
        <v>4.9651319999999997</v>
      </c>
      <c r="Z163" s="15">
        <f>+ROUND(G$3*EXP(P163),6)</f>
        <v>4.3886450000000004</v>
      </c>
      <c r="AA163" s="15">
        <f>+ROUND(H$3*EXP(Q163),6)</f>
        <v>3.4374039999999999</v>
      </c>
      <c r="AB163" s="1">
        <v>161</v>
      </c>
      <c r="AC163" s="5" t="s">
        <v>162</v>
      </c>
      <c r="AD163" s="16">
        <f>+ROUND(Pozisyon!$U$4*('Data - Simülasyon- P&amp;L'!U163-'Data - Simülasyon- P&amp;L'!B$3),6)</f>
        <v>2899.5839999999998</v>
      </c>
      <c r="AE163" s="16">
        <f>+ROUND(Pozisyon!$U$5*('Data - Simülasyon- P&amp;L'!V163-'Data - Simülasyon- P&amp;L'!C$3),6)</f>
        <v>-1222.575</v>
      </c>
      <c r="AF163" s="16">
        <f>+ROUND(Pozisyon!$U$6*('Data - Simülasyon- P&amp;L'!W163-'Data - Simülasyon- P&amp;L'!D$3),6)</f>
        <v>0</v>
      </c>
      <c r="AG163" s="16">
        <f>+ROUND(Pozisyon!$U$7*('Data - Simülasyon- P&amp;L'!X163-'Data - Simülasyon- P&amp;L'!E$3),6)</f>
        <v>-14924.84</v>
      </c>
      <c r="AH163" s="16">
        <f>+ROUND(Pozisyon!$U$8*('Data - Simülasyon- P&amp;L'!Y163-'Data - Simülasyon- P&amp;L'!F$3),6)</f>
        <v>-3181.752</v>
      </c>
      <c r="AI163" s="16">
        <f>+ROUND(Pozisyon!$U$9*('Data - Simülasyon- P&amp;L'!Z163-'Data - Simülasyon- P&amp;L'!G$3),6)</f>
        <v>17652.145</v>
      </c>
      <c r="AJ163" s="16">
        <f>+ROUND(Pozisyon!$U$10*('Data - Simülasyon- P&amp;L'!AA163-'Data - Simülasyon- P&amp;L'!H$3),6)</f>
        <v>6108.8040000000001</v>
      </c>
      <c r="AK163" s="16">
        <f>+SUM(AD163:AJ163)</f>
        <v>7331.3660000000018</v>
      </c>
      <c r="AL163" s="16">
        <f>+SMALL($AK$3:$AK$254,AB163)</f>
        <v>27563.774249999999</v>
      </c>
    </row>
    <row r="164" spans="1:38" ht="15" thickBot="1" x14ac:dyDescent="0.35">
      <c r="A164" s="5" t="s">
        <v>445</v>
      </c>
      <c r="B164" s="6">
        <v>7.55</v>
      </c>
      <c r="C164" s="5">
        <v>9.56</v>
      </c>
      <c r="D164" s="6">
        <v>4.01</v>
      </c>
      <c r="E164" s="5">
        <v>1.36</v>
      </c>
      <c r="F164" s="5">
        <v>6.7</v>
      </c>
      <c r="G164" s="5">
        <v>4.43</v>
      </c>
      <c r="H164" s="5">
        <v>3.93</v>
      </c>
      <c r="J164" s="5" t="s">
        <v>445</v>
      </c>
      <c r="K164" s="11">
        <f>+ROUND(LN(B164/B165),6)</f>
        <v>1.0652999999999999E-2</v>
      </c>
      <c r="L164" s="11">
        <f>+ROUND(LN(C164/C165),6)</f>
        <v>1.0515E-2</v>
      </c>
      <c r="M164" s="11">
        <f>+ROUND(LN(D164/D165),6)</f>
        <v>2.4970000000000001E-3</v>
      </c>
      <c r="N164" s="11">
        <f>+ROUND(LN(E164/E165),6)</f>
        <v>-1.4599000000000001E-2</v>
      </c>
      <c r="O164" s="11">
        <f>+ROUND(LN(F164/F165),6)</f>
        <v>1.2012E-2</v>
      </c>
      <c r="P164" s="11">
        <f>+ROUND(LN(G164/G165),6)</f>
        <v>-1.1223E-2</v>
      </c>
      <c r="Q164" s="11">
        <f>+ROUND(LN(H164/H165),6)</f>
        <v>1.2803999999999999E-2</v>
      </c>
      <c r="R164" s="3"/>
      <c r="T164" s="5" t="s">
        <v>163</v>
      </c>
      <c r="U164" s="15">
        <f>+ROUND(B$3*EXP(K164),6)</f>
        <v>7.6813960000000003</v>
      </c>
      <c r="V164" s="15">
        <f>+ROUND(C$3*EXP(L164),6)</f>
        <v>9.4488339999999997</v>
      </c>
      <c r="W164" s="15">
        <f>+ROUND(D$3*EXP(M164),6)</f>
        <v>2.7769249999999999</v>
      </c>
      <c r="X164" s="15">
        <f>+ROUND(E$3*EXP(N164),6)</f>
        <v>1.1333329999999999</v>
      </c>
      <c r="Y164" s="15">
        <f>+ROUND(F$3*EXP(O164),6)</f>
        <v>5.0401800000000003</v>
      </c>
      <c r="Z164" s="15">
        <f>+ROUND(G$3*EXP(P164),6)</f>
        <v>4.281676</v>
      </c>
      <c r="AA164" s="15">
        <f>+ROUND(H$3*EXP(Q164),6)</f>
        <v>3.4640710000000001</v>
      </c>
      <c r="AB164" s="1">
        <v>162</v>
      </c>
      <c r="AC164" s="5" t="s">
        <v>163</v>
      </c>
      <c r="AD164" s="16">
        <f>+ROUND(Pozisyon!$U$4*('Data - Simülasyon- P&amp;L'!U164-'Data - Simülasyon- P&amp;L'!B$3),6)</f>
        <v>11721.023999999999</v>
      </c>
      <c r="AE164" s="16">
        <f>+ROUND(Pozisyon!$U$5*('Data - Simülasyon- P&amp;L'!V164-'Data - Simülasyon- P&amp;L'!C$3),6)</f>
        <v>2470.85</v>
      </c>
      <c r="AF164" s="16">
        <f>+ROUND(Pozisyon!$U$6*('Data - Simülasyon- P&amp;L'!W164-'Data - Simülasyon- P&amp;L'!D$3),6)</f>
        <v>129.84375</v>
      </c>
      <c r="AG164" s="16">
        <f>+ROUND(Pozisyon!$U$7*('Data - Simülasyon- P&amp;L'!X164-'Data - Simülasyon- P&amp;L'!E$3),6)</f>
        <v>-5883.451</v>
      </c>
      <c r="AH164" s="16">
        <f>+ROUND(Pozisyon!$U$8*('Data - Simülasyon- P&amp;L'!Y164-'Data - Simülasyon- P&amp;L'!F$3),6)</f>
        <v>12878.52</v>
      </c>
      <c r="AI164" s="16">
        <f>+ROUND(Pozisyon!$U$9*('Data - Simülasyon- P&amp;L'!Z164-'Data - Simülasyon- P&amp;L'!G$3),6)</f>
        <v>-14545.523999999999</v>
      </c>
      <c r="AJ164" s="16">
        <f>+ROUND(Pozisyon!$U$10*('Data - Simülasyon- P&amp;L'!AA164-'Data - Simülasyon- P&amp;L'!H$3),6)</f>
        <v>15468.921</v>
      </c>
      <c r="AK164" s="16">
        <f>+SUM(AD164:AJ164)</f>
        <v>22240.18375</v>
      </c>
      <c r="AL164" s="16">
        <f>+SMALL($AK$3:$AK$254,AB164)</f>
        <v>28228.535500000002</v>
      </c>
    </row>
    <row r="165" spans="1:38" ht="15" thickBot="1" x14ac:dyDescent="0.35">
      <c r="A165" s="5" t="s">
        <v>446</v>
      </c>
      <c r="B165" s="6">
        <v>7.47</v>
      </c>
      <c r="C165" s="5">
        <v>9.4600000000000009</v>
      </c>
      <c r="D165" s="6">
        <v>4</v>
      </c>
      <c r="E165" s="5">
        <v>1.38</v>
      </c>
      <c r="F165" s="5">
        <v>6.62</v>
      </c>
      <c r="G165" s="5">
        <v>4.4800000000000004</v>
      </c>
      <c r="H165" s="5">
        <v>3.88</v>
      </c>
      <c r="J165" s="5" t="s">
        <v>446</v>
      </c>
      <c r="K165" s="11">
        <f>+ROUND(LN(B165/B166),6)</f>
        <v>-2.1193E-2</v>
      </c>
      <c r="L165" s="11">
        <f>+ROUND(LN(C165/C166),6)</f>
        <v>-2.7113000000000002E-2</v>
      </c>
      <c r="M165" s="11">
        <f>+ROUND(LN(D165/D166),6)</f>
        <v>1.2579E-2</v>
      </c>
      <c r="N165" s="11">
        <f>+ROUND(LN(E165/E166),6)</f>
        <v>7.273E-3</v>
      </c>
      <c r="O165" s="11">
        <f>+ROUND(LN(F165/F166),6)</f>
        <v>-4.5209999999999998E-3</v>
      </c>
      <c r="P165" s="11">
        <f>+ROUND(LN(G165/G166),6)</f>
        <v>-1.9890000000000001E-2</v>
      </c>
      <c r="Q165" s="11">
        <f>+ROUND(LN(H165/H166),6)</f>
        <v>-7.7019999999999996E-3</v>
      </c>
      <c r="R165" s="3"/>
      <c r="T165" s="5" t="s">
        <v>164</v>
      </c>
      <c r="U165" s="15">
        <f>+ROUND(B$3*EXP(K165),6)</f>
        <v>7.4406280000000002</v>
      </c>
      <c r="V165" s="15">
        <f>+ROUND(C$3*EXP(L165),6)</f>
        <v>9.0998990000000006</v>
      </c>
      <c r="W165" s="15">
        <f>+ROUND(D$3*EXP(M165),6)</f>
        <v>2.8050639999999998</v>
      </c>
      <c r="X165" s="15">
        <f>+ROUND(E$3*EXP(N165),6)</f>
        <v>1.1583939999999999</v>
      </c>
      <c r="Y165" s="15">
        <f>+ROUND(F$3*EXP(O165),6)</f>
        <v>4.9575360000000002</v>
      </c>
      <c r="Z165" s="15">
        <f>+ROUND(G$3*EXP(P165),6)</f>
        <v>4.2447270000000001</v>
      </c>
      <c r="AA165" s="15">
        <f>+ROUND(H$3*EXP(Q165),6)</f>
        <v>3.3937599999999999</v>
      </c>
      <c r="AB165" s="1">
        <v>163</v>
      </c>
      <c r="AC165" s="5" t="s">
        <v>164</v>
      </c>
      <c r="AD165" s="16">
        <f>+ROUND(Pozisyon!$U$4*('Data - Simülasyon- P&amp;L'!U165-'Data - Simülasyon- P&amp;L'!B$3),6)</f>
        <v>-22949.567999999999</v>
      </c>
      <c r="AE165" s="16">
        <f>+ROUND(Pozisyon!$U$5*('Data - Simülasyon- P&amp;L'!V165-'Data - Simülasyon- P&amp;L'!C$3),6)</f>
        <v>-6252.5249999999996</v>
      </c>
      <c r="AF165" s="16">
        <f>+ROUND(Pozisyon!$U$6*('Data - Simülasyon- P&amp;L'!W165-'Data - Simülasyon- P&amp;L'!D$3),6)</f>
        <v>657.45</v>
      </c>
      <c r="AG165" s="16">
        <f>+ROUND(Pozisyon!$U$7*('Data - Simülasyon- P&amp;L'!X165-'Data - Simülasyon- P&amp;L'!E$3),6)</f>
        <v>2963.0819999999999</v>
      </c>
      <c r="AH165" s="16">
        <f>+ROUND(Pozisyon!$U$8*('Data - Simülasyon- P&amp;L'!Y165-'Data - Simülasyon- P&amp;L'!F$3),6)</f>
        <v>-4807.2960000000003</v>
      </c>
      <c r="AI165" s="16">
        <f>+ROUND(Pozisyon!$U$9*('Data - Simülasyon- P&amp;L'!Z165-'Data - Simülasyon- P&amp;L'!G$3),6)</f>
        <v>-25667.172999999999</v>
      </c>
      <c r="AJ165" s="16">
        <f>+ROUND(Pozisyon!$U$10*('Data - Simülasyon- P&amp;L'!AA165-'Data - Simülasyon- P&amp;L'!H$3),6)</f>
        <v>-9210.24</v>
      </c>
      <c r="AK165" s="16">
        <f>+SUM(AD165:AJ165)</f>
        <v>-65266.27</v>
      </c>
      <c r="AL165" s="16">
        <f>+SMALL($AK$3:$AK$254,AB165)</f>
        <v>29573.054</v>
      </c>
    </row>
    <row r="166" spans="1:38" ht="15" thickBot="1" x14ac:dyDescent="0.35">
      <c r="A166" s="5" t="s">
        <v>447</v>
      </c>
      <c r="B166" s="6">
        <v>7.63</v>
      </c>
      <c r="C166" s="5">
        <v>9.7200000000000006</v>
      </c>
      <c r="D166" s="6">
        <v>3.95</v>
      </c>
      <c r="E166" s="5">
        <v>1.37</v>
      </c>
      <c r="F166" s="5">
        <v>6.65</v>
      </c>
      <c r="G166" s="5">
        <v>4.57</v>
      </c>
      <c r="H166" s="5">
        <v>3.91</v>
      </c>
      <c r="J166" s="5" t="s">
        <v>447</v>
      </c>
      <c r="K166" s="11">
        <f>+ROUND(LN(B166/B167),6)</f>
        <v>-4.3596999999999997E-2</v>
      </c>
      <c r="L166" s="11">
        <f>+ROUND(LN(C166/C167),6)</f>
        <v>-1.9359000000000001E-2</v>
      </c>
      <c r="M166" s="11">
        <f>+ROUND(LN(D166/D167),6)</f>
        <v>-1.2579E-2</v>
      </c>
      <c r="N166" s="11">
        <f>+ROUND(LN(E166/E167),6)</f>
        <v>-2.1661E-2</v>
      </c>
      <c r="O166" s="11">
        <f>+ROUND(LN(F166/F167),6)</f>
        <v>-4.5009999999999998E-3</v>
      </c>
      <c r="P166" s="11">
        <f>+ROUND(LN(G166/G167),6)</f>
        <v>-1.0881999999999999E-2</v>
      </c>
      <c r="Q166" s="11">
        <f>+ROUND(LN(H166/H167),6)</f>
        <v>-4.7449999999999999E-2</v>
      </c>
      <c r="R166" s="3"/>
      <c r="T166" s="5" t="s">
        <v>165</v>
      </c>
      <c r="U166" s="15">
        <f>+ROUND(B$3*EXP(K166),6)</f>
        <v>7.2757820000000004</v>
      </c>
      <c r="V166" s="15">
        <f>+ROUND(C$3*EXP(L166),6)</f>
        <v>9.1707339999999995</v>
      </c>
      <c r="W166" s="15">
        <f>+ROUND(D$3*EXP(M166),6)</f>
        <v>2.7353740000000002</v>
      </c>
      <c r="X166" s="15">
        <f>+ROUND(E$3*EXP(N166),6)</f>
        <v>1.1253580000000001</v>
      </c>
      <c r="Y166" s="15">
        <f>+ROUND(F$3*EXP(O166),6)</f>
        <v>4.9576349999999998</v>
      </c>
      <c r="Z166" s="15">
        <f>+ROUND(G$3*EXP(P166),6)</f>
        <v>4.2831359999999998</v>
      </c>
      <c r="AA166" s="15">
        <f>+ROUND(H$3*EXP(Q166),6)</f>
        <v>3.261511</v>
      </c>
      <c r="AB166" s="1">
        <v>164</v>
      </c>
      <c r="AC166" s="5" t="s">
        <v>165</v>
      </c>
      <c r="AD166" s="16">
        <f>+ROUND(Pozisyon!$U$4*('Data - Simülasyon- P&amp;L'!U166-'Data - Simülasyon- P&amp;L'!B$3),6)</f>
        <v>-46687.392</v>
      </c>
      <c r="AE166" s="16">
        <f>+ROUND(Pozisyon!$U$5*('Data - Simülasyon- P&amp;L'!V166-'Data - Simülasyon- P&amp;L'!C$3),6)</f>
        <v>-4481.6499999999996</v>
      </c>
      <c r="AF166" s="16">
        <f>+ROUND(Pozisyon!$U$6*('Data - Simülasyon- P&amp;L'!W166-'Data - Simülasyon- P&amp;L'!D$3),6)</f>
        <v>-649.23749999999995</v>
      </c>
      <c r="AG166" s="16">
        <f>+ROUND(Pozisyon!$U$7*('Data - Simülasyon- P&amp;L'!X166-'Data - Simülasyon- P&amp;L'!E$3),6)</f>
        <v>-8698.6260000000002</v>
      </c>
      <c r="AH166" s="16">
        <f>+ROUND(Pozisyon!$U$8*('Data - Simülasyon- P&amp;L'!Y166-'Data - Simülasyon- P&amp;L'!F$3),6)</f>
        <v>-4786.1099999999997</v>
      </c>
      <c r="AI166" s="16">
        <f>+ROUND(Pozisyon!$U$9*('Data - Simülasyon- P&amp;L'!Z166-'Data - Simülasyon- P&amp;L'!G$3),6)</f>
        <v>-14106.064</v>
      </c>
      <c r="AJ166" s="16">
        <f>+ROUND(Pozisyon!$U$10*('Data - Simülasyon- P&amp;L'!AA166-'Data - Simülasyon- P&amp;L'!H$3),6)</f>
        <v>-55629.639000000003</v>
      </c>
      <c r="AK166" s="16">
        <f>+SUM(AD166:AJ166)</f>
        <v>-135038.71850000002</v>
      </c>
      <c r="AL166" s="16">
        <f>+SMALL($AK$3:$AK$254,AB166)</f>
        <v>30317.796749999994</v>
      </c>
    </row>
    <row r="167" spans="1:38" ht="15" thickBot="1" x14ac:dyDescent="0.35">
      <c r="A167" s="5" t="s">
        <v>448</v>
      </c>
      <c r="B167" s="6">
        <v>7.97</v>
      </c>
      <c r="C167" s="5">
        <v>9.91</v>
      </c>
      <c r="D167" s="6">
        <v>4</v>
      </c>
      <c r="E167" s="5">
        <v>1.4</v>
      </c>
      <c r="F167" s="5">
        <v>6.68</v>
      </c>
      <c r="G167" s="5">
        <v>4.62</v>
      </c>
      <c r="H167" s="5">
        <v>4.0999999999999996</v>
      </c>
      <c r="J167" s="5" t="s">
        <v>448</v>
      </c>
      <c r="K167" s="11">
        <f>+ROUND(LN(B167/B168),6)</f>
        <v>-1.4944000000000001E-2</v>
      </c>
      <c r="L167" s="11">
        <f>+ROUND(LN(C167/C168),6)</f>
        <v>-1.3032999999999999E-2</v>
      </c>
      <c r="M167" s="11">
        <f>+ROUND(LN(D167/D168),6)</f>
        <v>-1.7349E-2</v>
      </c>
      <c r="N167" s="11">
        <f>+ROUND(LN(E167/E168),6)</f>
        <v>7.1679999999999999E-3</v>
      </c>
      <c r="O167" s="11">
        <f>+ROUND(LN(F167/F168),6)</f>
        <v>7.5129999999999997E-3</v>
      </c>
      <c r="P167" s="11">
        <f>+ROUND(LN(G167/G168),6)</f>
        <v>-4.3200000000000001E-3</v>
      </c>
      <c r="Q167" s="11">
        <f>+ROUND(LN(H167/H168),6)</f>
        <v>2.4420000000000002E-3</v>
      </c>
      <c r="R167" s="3"/>
      <c r="T167" s="5" t="s">
        <v>166</v>
      </c>
      <c r="U167" s="15">
        <f>+ROUND(B$3*EXP(K167),6)</f>
        <v>7.4872699999999996</v>
      </c>
      <c r="V167" s="15">
        <f>+ROUND(C$3*EXP(L167),6)</f>
        <v>9.2289320000000004</v>
      </c>
      <c r="W167" s="15">
        <f>+ROUND(D$3*EXP(M167),6)</f>
        <v>2.7223579999999998</v>
      </c>
      <c r="X167" s="15">
        <f>+ROUND(E$3*EXP(N167),6)</f>
        <v>1.1582730000000001</v>
      </c>
      <c r="Y167" s="15">
        <f>+ROUND(F$3*EXP(O167),6)</f>
        <v>5.0175559999999999</v>
      </c>
      <c r="Z167" s="15">
        <f>+ROUND(G$3*EXP(P167),6)</f>
        <v>4.3113349999999997</v>
      </c>
      <c r="AA167" s="15">
        <f>+ROUND(H$3*EXP(Q167),6)</f>
        <v>3.4283619999999999</v>
      </c>
      <c r="AB167" s="1">
        <v>165</v>
      </c>
      <c r="AC167" s="5" t="s">
        <v>166</v>
      </c>
      <c r="AD167" s="16">
        <f>+ROUND(Pozisyon!$U$4*('Data - Simülasyon- P&amp;L'!U167-'Data - Simülasyon- P&amp;L'!B$3),6)</f>
        <v>-16233.12</v>
      </c>
      <c r="AE167" s="16">
        <f>+ROUND(Pozisyon!$U$5*('Data - Simülasyon- P&amp;L'!V167-'Data - Simülasyon- P&amp;L'!C$3),6)</f>
        <v>-3026.7</v>
      </c>
      <c r="AF167" s="16">
        <f>+ROUND(Pozisyon!$U$6*('Data - Simülasyon- P&amp;L'!W167-'Data - Simülasyon- P&amp;L'!D$3),6)</f>
        <v>-893.28750000000002</v>
      </c>
      <c r="AG167" s="16">
        <f>+ROUND(Pozisyon!$U$7*('Data - Simülasyon- P&amp;L'!X167-'Data - Simülasyon- P&amp;L'!E$3),6)</f>
        <v>2920.3690000000001</v>
      </c>
      <c r="AH167" s="16">
        <f>+ROUND(Pozisyon!$U$8*('Data - Simülasyon- P&amp;L'!Y167-'Data - Simülasyon- P&amp;L'!F$3),6)</f>
        <v>8036.9840000000004</v>
      </c>
      <c r="AI167" s="16">
        <f>+ROUND(Pozisyon!$U$9*('Data - Simülasyon- P&amp;L'!Z167-'Data - Simülasyon- P&amp;L'!G$3),6)</f>
        <v>-5618.165</v>
      </c>
      <c r="AJ167" s="16">
        <f>+ROUND(Pozisyon!$U$10*('Data - Simülasyon- P&amp;L'!AA167-'Data - Simülasyon- P&amp;L'!H$3),6)</f>
        <v>2935.0619999999999</v>
      </c>
      <c r="AK167" s="16">
        <f>+SUM(AD167:AJ167)</f>
        <v>-11878.8575</v>
      </c>
      <c r="AL167" s="16">
        <f>+SMALL($AK$3:$AK$254,AB167)</f>
        <v>31773.463000000003</v>
      </c>
    </row>
    <row r="168" spans="1:38" ht="15" thickBot="1" x14ac:dyDescent="0.35">
      <c r="A168" s="5" t="s">
        <v>449</v>
      </c>
      <c r="B168" s="6">
        <v>8.09</v>
      </c>
      <c r="C168" s="5">
        <v>10.039999999999999</v>
      </c>
      <c r="D168" s="6">
        <v>4.07</v>
      </c>
      <c r="E168" s="5">
        <v>1.39</v>
      </c>
      <c r="F168" s="5">
        <v>6.63</v>
      </c>
      <c r="G168" s="5">
        <v>4.6399999999999997</v>
      </c>
      <c r="H168" s="5">
        <v>4.09</v>
      </c>
      <c r="J168" s="5" t="s">
        <v>449</v>
      </c>
      <c r="K168" s="11">
        <f>+ROUND(LN(B168/B169),6)</f>
        <v>-4.7081999999999999E-2</v>
      </c>
      <c r="L168" s="11">
        <f>+ROUND(LN(C168/C169),6)</f>
        <v>-5.2387999999999997E-2</v>
      </c>
      <c r="M168" s="11">
        <f>+ROUND(LN(D168/D169),6)</f>
        <v>2.4599999999999999E-3</v>
      </c>
      <c r="N168" s="11">
        <f>+ROUND(LN(E168/E169),6)</f>
        <v>-4.9133000000000003E-2</v>
      </c>
      <c r="O168" s="11">
        <f>+ROUND(LN(F168/F169),6)</f>
        <v>-3.4103000000000001E-2</v>
      </c>
      <c r="P168" s="11">
        <f>+ROUND(LN(G168/G169),6)</f>
        <v>-4.4263999999999998E-2</v>
      </c>
      <c r="Q168" s="11">
        <f>+ROUND(LN(H168/H169),6)</f>
        <v>-3.3656999999999999E-2</v>
      </c>
      <c r="R168" s="3"/>
      <c r="T168" s="5" t="s">
        <v>167</v>
      </c>
      <c r="U168" s="15">
        <f>+ROUND(B$3*EXP(K168),6)</f>
        <v>7.25047</v>
      </c>
      <c r="V168" s="15">
        <f>+ROUND(C$3*EXP(L168),6)</f>
        <v>8.8727820000000008</v>
      </c>
      <c r="W168" s="15">
        <f>+ROUND(D$3*EXP(M168),6)</f>
        <v>2.7768229999999998</v>
      </c>
      <c r="X168" s="15">
        <f>+ROUND(E$3*EXP(N168),6)</f>
        <v>1.0948629999999999</v>
      </c>
      <c r="Y168" s="15">
        <f>+ROUND(F$3*EXP(O168),6)</f>
        <v>4.8130300000000004</v>
      </c>
      <c r="Z168" s="15">
        <f>+ROUND(G$3*EXP(P168),6)</f>
        <v>4.1425169999999998</v>
      </c>
      <c r="AA168" s="15">
        <f>+ROUND(H$3*EXP(Q168),6)</f>
        <v>3.3068089999999999</v>
      </c>
      <c r="AB168" s="1">
        <v>166</v>
      </c>
      <c r="AC168" s="5" t="s">
        <v>167</v>
      </c>
      <c r="AD168" s="16">
        <f>+ROUND(Pozisyon!$U$4*('Data - Simülasyon- P&amp;L'!U168-'Data - Simülasyon- P&amp;L'!B$3),6)</f>
        <v>-50332.32</v>
      </c>
      <c r="AE168" s="16">
        <f>+ROUND(Pozisyon!$U$5*('Data - Simülasyon- P&amp;L'!V168-'Data - Simülasyon- P&amp;L'!C$3),6)</f>
        <v>-11930.45</v>
      </c>
      <c r="AF168" s="16">
        <f>+ROUND(Pozisyon!$U$6*('Data - Simülasyon- P&amp;L'!W168-'Data - Simülasyon- P&amp;L'!D$3),6)</f>
        <v>127.93125000000001</v>
      </c>
      <c r="AG168" s="16">
        <f>+ROUND(Pozisyon!$U$7*('Data - Simülasyon- P&amp;L'!X168-'Data - Simülasyon- P&amp;L'!E$3),6)</f>
        <v>-19463.361000000001</v>
      </c>
      <c r="AH168" s="16">
        <f>+ROUND(Pozisyon!$U$8*('Data - Simülasyon- P&amp;L'!Y168-'Data - Simülasyon- P&amp;L'!F$3),6)</f>
        <v>-35731.58</v>
      </c>
      <c r="AI168" s="16">
        <f>+ROUND(Pozisyon!$U$9*('Data - Simülasyon- P&amp;L'!Z168-'Data - Simülasyon- P&amp;L'!G$3),6)</f>
        <v>-56432.383000000002</v>
      </c>
      <c r="AJ168" s="16">
        <f>+ROUND(Pozisyon!$U$10*('Data - Simülasyon- P&amp;L'!AA168-'Data - Simülasyon- P&amp;L'!H$3),6)</f>
        <v>-39730.040999999997</v>
      </c>
      <c r="AK168" s="16">
        <f>+SUM(AD168:AJ168)</f>
        <v>-213492.20375000002</v>
      </c>
      <c r="AL168" s="16">
        <f>+SMALL($AK$3:$AK$254,AB168)</f>
        <v>33116.381249999999</v>
      </c>
    </row>
    <row r="169" spans="1:38" ht="15" thickBot="1" x14ac:dyDescent="0.35">
      <c r="A169" s="5" t="s">
        <v>450</v>
      </c>
      <c r="B169" s="6">
        <v>8.48</v>
      </c>
      <c r="C169" s="5">
        <v>10.58</v>
      </c>
      <c r="D169" s="6">
        <v>4.0599999999999996</v>
      </c>
      <c r="E169" s="5">
        <v>1.46</v>
      </c>
      <c r="F169" s="5">
        <v>6.86</v>
      </c>
      <c r="G169" s="5">
        <v>4.8499999999999996</v>
      </c>
      <c r="H169" s="5">
        <v>4.2300000000000004</v>
      </c>
      <c r="J169" s="5" t="s">
        <v>450</v>
      </c>
      <c r="K169" s="11">
        <f>+ROUND(LN(B169/B170),6)</f>
        <v>-1.5214E-2</v>
      </c>
      <c r="L169" s="11">
        <f>+ROUND(LN(C169/C170),6)</f>
        <v>-2.0580999999999999E-2</v>
      </c>
      <c r="M169" s="11">
        <f>+ROUND(LN(D169/D170),6)</f>
        <v>-4.914E-3</v>
      </c>
      <c r="N169" s="11">
        <f>+ROUND(LN(E169/E170),6)</f>
        <v>-1.3606E-2</v>
      </c>
      <c r="O169" s="11">
        <f>+ROUND(LN(F169/F170),6)</f>
        <v>-8.7080000000000005E-3</v>
      </c>
      <c r="P169" s="11">
        <f>+ROUND(LN(G169/G170),6)</f>
        <v>-2.2426999999999999E-2</v>
      </c>
      <c r="Q169" s="11">
        <f>+ROUND(LN(H169/H170),6)</f>
        <v>-1.1750999999999999E-2</v>
      </c>
      <c r="R169" s="3"/>
      <c r="T169" s="5" t="s">
        <v>168</v>
      </c>
      <c r="U169" s="15">
        <f>+ROUND(B$3*EXP(K169),6)</f>
        <v>7.4852489999999996</v>
      </c>
      <c r="V169" s="15">
        <f>+ROUND(C$3*EXP(L169),6)</f>
        <v>9.1595340000000007</v>
      </c>
      <c r="W169" s="15">
        <f>+ROUND(D$3*EXP(M169),6)</f>
        <v>2.7564220000000001</v>
      </c>
      <c r="X169" s="15">
        <f>+ROUND(E$3*EXP(N169),6)</f>
        <v>1.1344590000000001</v>
      </c>
      <c r="Y169" s="15">
        <f>+ROUND(F$3*EXP(O169),6)</f>
        <v>4.9368220000000003</v>
      </c>
      <c r="Z169" s="15">
        <f>+ROUND(G$3*EXP(P169),6)</f>
        <v>4.2339719999999996</v>
      </c>
      <c r="AA169" s="15">
        <f>+ROUND(H$3*EXP(Q169),6)</f>
        <v>3.3800469999999998</v>
      </c>
      <c r="AB169" s="1">
        <v>167</v>
      </c>
      <c r="AC169" s="5" t="s">
        <v>168</v>
      </c>
      <c r="AD169" s="16">
        <f>+ROUND(Pozisyon!$U$4*('Data - Simülasyon- P&amp;L'!U169-'Data - Simülasyon- P&amp;L'!B$3),6)</f>
        <v>-16524.144</v>
      </c>
      <c r="AE169" s="16">
        <f>+ROUND(Pozisyon!$U$5*('Data - Simülasyon- P&amp;L'!V169-'Data - Simülasyon- P&amp;L'!C$3),6)</f>
        <v>-4761.6499999999996</v>
      </c>
      <c r="AF169" s="16">
        <f>+ROUND(Pozisyon!$U$6*('Data - Simülasyon- P&amp;L'!W169-'Data - Simülasyon- P&amp;L'!D$3),6)</f>
        <v>-254.58750000000001</v>
      </c>
      <c r="AG169" s="16">
        <f>+ROUND(Pozisyon!$U$7*('Data - Simülasyon- P&amp;L'!X169-'Data - Simülasyon- P&amp;L'!E$3),6)</f>
        <v>-5485.973</v>
      </c>
      <c r="AH169" s="16">
        <f>+ROUND(Pozisyon!$U$8*('Data - Simülasyon- P&amp;L'!Y169-'Data - Simülasyon- P&amp;L'!F$3),6)</f>
        <v>-9240.0920000000006</v>
      </c>
      <c r="AI169" s="16">
        <f>+ROUND(Pozisyon!$U$9*('Data - Simülasyon- P&amp;L'!Z169-'Data - Simülasyon- P&amp;L'!G$3),6)</f>
        <v>-28904.428</v>
      </c>
      <c r="AJ169" s="16">
        <f>+ROUND(Pozisyon!$U$10*('Data - Simülasyon- P&amp;L'!AA169-'Data - Simülasyon- P&amp;L'!H$3),6)</f>
        <v>-14023.503000000001</v>
      </c>
      <c r="AK169" s="16">
        <f>+SUM(AD169:AJ169)</f>
        <v>-79194.377500000002</v>
      </c>
      <c r="AL169" s="16">
        <f>+SMALL($AK$3:$AK$254,AB169)</f>
        <v>33440.574999999997</v>
      </c>
    </row>
    <row r="170" spans="1:38" ht="15" thickBot="1" x14ac:dyDescent="0.35">
      <c r="A170" s="5" t="s">
        <v>451</v>
      </c>
      <c r="B170" s="6">
        <v>8.61</v>
      </c>
      <c r="C170" s="5">
        <v>10.8</v>
      </c>
      <c r="D170" s="6">
        <v>4.08</v>
      </c>
      <c r="E170" s="5">
        <v>1.48</v>
      </c>
      <c r="F170" s="5">
        <v>6.92</v>
      </c>
      <c r="G170" s="5">
        <v>4.96</v>
      </c>
      <c r="H170" s="5">
        <v>4.28</v>
      </c>
      <c r="J170" s="5" t="s">
        <v>451</v>
      </c>
      <c r="K170" s="11">
        <f>+ROUND(LN(B170/B171),6)</f>
        <v>2.3259999999999999E-3</v>
      </c>
      <c r="L170" s="11">
        <f>+ROUND(LN(C170/C171),6)</f>
        <v>-4.6189999999999998E-3</v>
      </c>
      <c r="M170" s="11">
        <f>+ROUND(LN(D170/D171),6)</f>
        <v>4.914E-3</v>
      </c>
      <c r="N170" s="11">
        <f>+ROUND(LN(E170/E171),6)</f>
        <v>-2.0067999999999999E-2</v>
      </c>
      <c r="O170" s="11">
        <f>+ROUND(LN(F170/F171),6)</f>
        <v>-1.1494000000000001E-2</v>
      </c>
      <c r="P170" s="11">
        <f>+ROUND(LN(G170/G171),6)</f>
        <v>4.0400000000000002E-3</v>
      </c>
      <c r="Q170" s="11">
        <f>+ROUND(LN(H170/H171),6)</f>
        <v>1.4118E-2</v>
      </c>
      <c r="R170" s="3"/>
      <c r="T170" s="5" t="s">
        <v>169</v>
      </c>
      <c r="U170" s="15">
        <f>+ROUND(B$3*EXP(K170),6)</f>
        <v>7.6176979999999999</v>
      </c>
      <c r="V170" s="15">
        <f>+ROUND(C$3*EXP(L170),6)</f>
        <v>9.3069120000000005</v>
      </c>
      <c r="W170" s="15">
        <f>+ROUND(D$3*EXP(M170),6)</f>
        <v>2.7836449999999999</v>
      </c>
      <c r="X170" s="15">
        <f>+ROUND(E$3*EXP(N170),6)</f>
        <v>1.1271519999999999</v>
      </c>
      <c r="Y170" s="15">
        <f>+ROUND(F$3*EXP(O170),6)</f>
        <v>4.9230879999999999</v>
      </c>
      <c r="Z170" s="15">
        <f>+ROUND(G$3*EXP(P170),6)</f>
        <v>4.3475289999999998</v>
      </c>
      <c r="AA170" s="15">
        <f>+ROUND(H$3*EXP(Q170),6)</f>
        <v>3.468626</v>
      </c>
      <c r="AB170" s="1">
        <v>168</v>
      </c>
      <c r="AC170" s="5" t="s">
        <v>169</v>
      </c>
      <c r="AD170" s="16">
        <f>+ROUND(Pozisyon!$U$4*('Data - Simülasyon- P&amp;L'!U170-'Data - Simülasyon- P&amp;L'!B$3),6)</f>
        <v>2548.5120000000002</v>
      </c>
      <c r="AE170" s="16">
        <f>+ROUND(Pozisyon!$U$5*('Data - Simülasyon- P&amp;L'!V170-'Data - Simülasyon- P&amp;L'!C$3),6)</f>
        <v>-1077.2</v>
      </c>
      <c r="AF170" s="16">
        <f>+ROUND(Pozisyon!$U$6*('Data - Simülasyon- P&amp;L'!W170-'Data - Simülasyon- P&amp;L'!D$3),6)</f>
        <v>255.84375</v>
      </c>
      <c r="AG170" s="16">
        <f>+ROUND(Pozisyon!$U$7*('Data - Simülasyon- P&amp;L'!X170-'Data - Simülasyon- P&amp;L'!E$3),6)</f>
        <v>-8065.3440000000001</v>
      </c>
      <c r="AH170" s="16">
        <f>+ROUND(Pozisyon!$U$8*('Data - Simülasyon- P&amp;L'!Y170-'Data - Simülasyon- P&amp;L'!F$3),6)</f>
        <v>-12179.168</v>
      </c>
      <c r="AI170" s="16">
        <f>+ROUND(Pozisyon!$U$9*('Data - Simülasyon- P&amp;L'!Z170-'Data - Simülasyon- P&amp;L'!G$3),6)</f>
        <v>5276.2290000000003</v>
      </c>
      <c r="AJ170" s="16">
        <f>+ROUND(Pozisyon!$U$10*('Data - Simülasyon- P&amp;L'!AA170-'Data - Simülasyon- P&amp;L'!H$3),6)</f>
        <v>17067.725999999999</v>
      </c>
      <c r="AK170" s="16">
        <f>+SUM(AD170:AJ170)</f>
        <v>3826.5987499999974</v>
      </c>
      <c r="AL170" s="16">
        <f>+SMALL($AK$3:$AK$254,AB170)</f>
        <v>33901.268750000003</v>
      </c>
    </row>
    <row r="171" spans="1:38" ht="15" thickBot="1" x14ac:dyDescent="0.35">
      <c r="A171" s="5" t="s">
        <v>452</v>
      </c>
      <c r="B171" s="6">
        <v>8.59</v>
      </c>
      <c r="C171" s="5">
        <v>10.85</v>
      </c>
      <c r="D171" s="6">
        <v>4.0599999999999996</v>
      </c>
      <c r="E171" s="5">
        <v>1.51</v>
      </c>
      <c r="F171" s="5">
        <v>7</v>
      </c>
      <c r="G171" s="5">
        <v>4.9400000000000004</v>
      </c>
      <c r="H171" s="5">
        <v>4.22</v>
      </c>
      <c r="J171" s="5" t="s">
        <v>452</v>
      </c>
      <c r="K171" s="11">
        <f>+ROUND(LN(B171/B172),6)</f>
        <v>5.8380000000000003E-3</v>
      </c>
      <c r="L171" s="11">
        <f>+ROUND(LN(C171/C172),6)</f>
        <v>-5.5149999999999999E-3</v>
      </c>
      <c r="M171" s="11">
        <f>+ROUND(LN(D171/D172),6)</f>
        <v>2.4659999999999999E-3</v>
      </c>
      <c r="N171" s="11">
        <f>+ROUND(LN(E171/E172),6)</f>
        <v>-1.3158E-2</v>
      </c>
      <c r="O171" s="11">
        <f>+ROUND(LN(F171/F172),6)</f>
        <v>0</v>
      </c>
      <c r="P171" s="11">
        <f>+ROUND(LN(G171/G172),6)</f>
        <v>-8.0649999999999993E-3</v>
      </c>
      <c r="Q171" s="11">
        <f>+ROUND(LN(H171/H172),6)</f>
        <v>-1.4118E-2</v>
      </c>
      <c r="R171" s="3"/>
      <c r="T171" s="5" t="s">
        <v>170</v>
      </c>
      <c r="U171" s="15">
        <f>+ROUND(B$3*EXP(K171),6)</f>
        <v>7.6444989999999997</v>
      </c>
      <c r="V171" s="15">
        <f>+ROUND(C$3*EXP(L171),6)</f>
        <v>9.2985769999999999</v>
      </c>
      <c r="W171" s="15">
        <f>+ROUND(D$3*EXP(M171),6)</f>
        <v>2.7768389999999998</v>
      </c>
      <c r="X171" s="15">
        <f>+ROUND(E$3*EXP(N171),6)</f>
        <v>1.1349670000000001</v>
      </c>
      <c r="Y171" s="15">
        <f>+ROUND(F$3*EXP(O171),6)</f>
        <v>4.9800000000000004</v>
      </c>
      <c r="Z171" s="15">
        <f>+ROUND(G$3*EXP(P171),6)</f>
        <v>4.2952190000000003</v>
      </c>
      <c r="AA171" s="15">
        <f>+ROUND(H$3*EXP(Q171),6)</f>
        <v>3.3720560000000002</v>
      </c>
      <c r="AB171" s="1">
        <v>169</v>
      </c>
      <c r="AC171" s="5" t="s">
        <v>170</v>
      </c>
      <c r="AD171" s="16">
        <f>+ROUND(Pozisyon!$U$4*('Data - Simülasyon- P&amp;L'!U171-'Data - Simülasyon- P&amp;L'!B$3),6)</f>
        <v>6407.8559999999998</v>
      </c>
      <c r="AE171" s="16">
        <f>+ROUND(Pozisyon!$U$5*('Data - Simülasyon- P&amp;L'!V171-'Data - Simülasyon- P&amp;L'!C$3),6)</f>
        <v>-1285.575</v>
      </c>
      <c r="AF171" s="16">
        <f>+ROUND(Pozisyon!$U$6*('Data - Simülasyon- P&amp;L'!W171-'Data - Simülasyon- P&amp;L'!D$3),6)</f>
        <v>128.23124999999999</v>
      </c>
      <c r="AG171" s="16">
        <f>+ROUND(Pozisyon!$U$7*('Data - Simülasyon- P&amp;L'!X171-'Data - Simülasyon- P&amp;L'!E$3),6)</f>
        <v>-5306.6490000000003</v>
      </c>
      <c r="AH171" s="16">
        <f>+ROUND(Pozisyon!$U$8*('Data - Simülasyon- P&amp;L'!Y171-'Data - Simülasyon- P&amp;L'!F$3),6)</f>
        <v>0</v>
      </c>
      <c r="AI171" s="16">
        <f>+ROUND(Pozisyon!$U$9*('Data - Simülasyon- P&amp;L'!Z171-'Data - Simülasyon- P&amp;L'!G$3),6)</f>
        <v>-10469.081</v>
      </c>
      <c r="AJ171" s="16">
        <f>+ROUND(Pozisyon!$U$10*('Data - Simülasyon- P&amp;L'!AA171-'Data - Simülasyon- P&amp;L'!H$3),6)</f>
        <v>-16828.344000000001</v>
      </c>
      <c r="AK171" s="16">
        <f>+SUM(AD171:AJ171)</f>
        <v>-27353.561750000001</v>
      </c>
      <c r="AL171" s="16">
        <f>+SMALL($AK$3:$AK$254,AB171)</f>
        <v>33916.066250000003</v>
      </c>
    </row>
    <row r="172" spans="1:38" ht="15" thickBot="1" x14ac:dyDescent="0.35">
      <c r="A172" s="5" t="s">
        <v>453</v>
      </c>
      <c r="B172" s="6">
        <v>8.5399999999999991</v>
      </c>
      <c r="C172" s="5">
        <v>10.91</v>
      </c>
      <c r="D172" s="6">
        <v>4.05</v>
      </c>
      <c r="E172" s="5">
        <v>1.53</v>
      </c>
      <c r="F172" s="5">
        <v>7</v>
      </c>
      <c r="G172" s="5">
        <v>4.9800000000000004</v>
      </c>
      <c r="H172" s="5">
        <v>4.28</v>
      </c>
      <c r="J172" s="5" t="s">
        <v>453</v>
      </c>
      <c r="K172" s="11">
        <f>+ROUND(LN(B172/B173),6)</f>
        <v>4.6950000000000004E-3</v>
      </c>
      <c r="L172" s="11">
        <f>+ROUND(LN(C172/C173),6)</f>
        <v>-6.3959999999999998E-3</v>
      </c>
      <c r="M172" s="11">
        <f>+ROUND(LN(D172/D173),6)</f>
        <v>9.9260000000000008E-3</v>
      </c>
      <c r="N172" s="11">
        <f>+ROUND(LN(E172/E173),6)</f>
        <v>-1.9418000000000001E-2</v>
      </c>
      <c r="O172" s="11">
        <f>+ROUND(LN(F172/F173),6)</f>
        <v>5.731E-3</v>
      </c>
      <c r="P172" s="11">
        <f>+ROUND(LN(G172/G173),6)</f>
        <v>-3.1622999999999998E-2</v>
      </c>
      <c r="Q172" s="11">
        <f>+ROUND(LN(H172/H173),6)</f>
        <v>-6.9849999999999999E-3</v>
      </c>
      <c r="R172" s="3"/>
      <c r="T172" s="5" t="s">
        <v>171</v>
      </c>
      <c r="U172" s="15">
        <f>+ROUND(B$3*EXP(K172),6)</f>
        <v>7.6357660000000003</v>
      </c>
      <c r="V172" s="15">
        <f>+ROUND(C$3*EXP(L172),6)</f>
        <v>9.2903880000000001</v>
      </c>
      <c r="W172" s="15">
        <f>+ROUND(D$3*EXP(M172),6)</f>
        <v>2.7976320000000001</v>
      </c>
      <c r="X172" s="15">
        <f>+ROUND(E$3*EXP(N172),6)</f>
        <v>1.127885</v>
      </c>
      <c r="Y172" s="15">
        <f>+ROUND(F$3*EXP(O172),6)</f>
        <v>5.0086219999999999</v>
      </c>
      <c r="Z172" s="15">
        <f>+ROUND(G$3*EXP(P172),6)</f>
        <v>4.1952150000000001</v>
      </c>
      <c r="AA172" s="15">
        <f>+ROUND(H$3*EXP(Q172),6)</f>
        <v>3.3961950000000001</v>
      </c>
      <c r="AB172" s="1">
        <v>170</v>
      </c>
      <c r="AC172" s="5" t="s">
        <v>171</v>
      </c>
      <c r="AD172" s="16">
        <f>+ROUND(Pozisyon!$U$4*('Data - Simülasyon- P&amp;L'!U172-'Data - Simülasyon- P&amp;L'!B$3),6)</f>
        <v>5150.3040000000001</v>
      </c>
      <c r="AE172" s="16">
        <f>+ROUND(Pozisyon!$U$5*('Data - Simülasyon- P&amp;L'!V172-'Data - Simülasyon- P&amp;L'!C$3),6)</f>
        <v>-1490.3</v>
      </c>
      <c r="AF172" s="16">
        <f>+ROUND(Pozisyon!$U$6*('Data - Simülasyon- P&amp;L'!W172-'Data - Simülasyon- P&amp;L'!D$3),6)</f>
        <v>518.1</v>
      </c>
      <c r="AG172" s="16">
        <f>+ROUND(Pozisyon!$U$7*('Data - Simülasyon- P&amp;L'!X172-'Data - Simülasyon- P&amp;L'!E$3),6)</f>
        <v>-7806.5950000000003</v>
      </c>
      <c r="AH172" s="16">
        <f>+ROUND(Pozisyon!$U$8*('Data - Simülasyon- P&amp;L'!Y172-'Data - Simülasyon- P&amp;L'!F$3),6)</f>
        <v>6125.1080000000002</v>
      </c>
      <c r="AI172" s="16">
        <f>+ROUND(Pozisyon!$U$9*('Data - Simülasyon- P&amp;L'!Z172-'Data - Simülasyon- P&amp;L'!G$3),6)</f>
        <v>-40570.285000000003</v>
      </c>
      <c r="AJ172" s="16">
        <f>+ROUND(Pozisyon!$U$10*('Data - Simülasyon- P&amp;L'!AA172-'Data - Simülasyon- P&amp;L'!H$3),6)</f>
        <v>-8355.5550000000003</v>
      </c>
      <c r="AK172" s="16">
        <f>+SUM(AD172:AJ172)</f>
        <v>-46429.223000000005</v>
      </c>
      <c r="AL172" s="16">
        <f>+SMALL($AK$3:$AK$254,AB172)</f>
        <v>34040.09575</v>
      </c>
    </row>
    <row r="173" spans="1:38" ht="15" thickBot="1" x14ac:dyDescent="0.35">
      <c r="A173" s="5" t="s">
        <v>454</v>
      </c>
      <c r="B173" s="6">
        <v>8.5</v>
      </c>
      <c r="C173" s="5">
        <v>10.98</v>
      </c>
      <c r="D173" s="6">
        <v>4.01</v>
      </c>
      <c r="E173" s="5">
        <v>1.56</v>
      </c>
      <c r="F173" s="5">
        <v>6.96</v>
      </c>
      <c r="G173" s="5">
        <v>5.14</v>
      </c>
      <c r="H173" s="5">
        <v>4.3099999999999996</v>
      </c>
      <c r="J173" s="5" t="s">
        <v>454</v>
      </c>
      <c r="K173" s="11">
        <f>+ROUND(LN(B173/B174),6)</f>
        <v>2.2606999999999999E-2</v>
      </c>
      <c r="L173" s="11">
        <f>+ROUND(LN(C173/C174),6)</f>
        <v>1.4678999999999999E-2</v>
      </c>
      <c r="M173" s="11">
        <f>+ROUND(LN(D173/D174),6)</f>
        <v>-4.6293000000000001E-2</v>
      </c>
      <c r="N173" s="11">
        <f>+ROUND(LN(E173/E174),6)</f>
        <v>6.4310000000000001E-3</v>
      </c>
      <c r="O173" s="11">
        <f>+ROUND(LN(F173/F174),6)</f>
        <v>-2.869E-3</v>
      </c>
      <c r="P173" s="11">
        <f>+ROUND(LN(G173/G174),6)</f>
        <v>2.9617000000000001E-2</v>
      </c>
      <c r="Q173" s="11">
        <f>+ROUND(LN(H173/H174),6)</f>
        <v>6.9849999999999999E-3</v>
      </c>
      <c r="R173" s="3"/>
      <c r="T173" s="5" t="s">
        <v>172</v>
      </c>
      <c r="U173" s="15">
        <f>+ROUND(B$3*EXP(K173),6)</f>
        <v>7.7737699999999998</v>
      </c>
      <c r="V173" s="15">
        <f>+ROUND(C$3*EXP(L173),6)</f>
        <v>9.4882609999999996</v>
      </c>
      <c r="W173" s="15">
        <f>+ROUND(D$3*EXP(M173),6)</f>
        <v>2.6446909999999999</v>
      </c>
      <c r="X173" s="15">
        <f>+ROUND(E$3*EXP(N173),6)</f>
        <v>1.157419</v>
      </c>
      <c r="Y173" s="15">
        <f>+ROUND(F$3*EXP(O173),6)</f>
        <v>4.9657330000000002</v>
      </c>
      <c r="Z173" s="15">
        <f>+ROUND(G$3*EXP(P173),6)</f>
        <v>4.4601600000000001</v>
      </c>
      <c r="AA173" s="15">
        <f>+ROUND(H$3*EXP(Q173),6)</f>
        <v>3.443972</v>
      </c>
      <c r="AB173" s="1">
        <v>171</v>
      </c>
      <c r="AC173" s="5" t="s">
        <v>172</v>
      </c>
      <c r="AD173" s="16">
        <f>+ROUND(Pozisyon!$U$4*('Data - Simülasyon- P&amp;L'!U173-'Data - Simülasyon- P&amp;L'!B$3),6)</f>
        <v>25022.880000000001</v>
      </c>
      <c r="AE173" s="16">
        <f>+ROUND(Pozisyon!$U$5*('Data - Simülasyon- P&amp;L'!V173-'Data - Simülasyon- P&amp;L'!C$3),6)</f>
        <v>3456.5250000000001</v>
      </c>
      <c r="AF173" s="16">
        <f>+ROUND(Pozisyon!$U$6*('Data - Simülasyon- P&amp;L'!W173-'Data - Simülasyon- P&amp;L'!D$3),6)</f>
        <v>-2349.5437499999998</v>
      </c>
      <c r="AG173" s="16">
        <f>+ROUND(Pozisyon!$U$7*('Data - Simülasyon- P&amp;L'!X173-'Data - Simülasyon- P&amp;L'!E$3),6)</f>
        <v>2618.9070000000002</v>
      </c>
      <c r="AH173" s="16">
        <f>+ROUND(Pozisyon!$U$8*('Data - Simülasyon- P&amp;L'!Y173-'Data - Simülasyon- P&amp;L'!F$3),6)</f>
        <v>-3053.1379999999999</v>
      </c>
      <c r="AI173" s="16">
        <f>+ROUND(Pozisyon!$U$9*('Data - Simülasyon- P&amp;L'!Z173-'Data - Simülasyon- P&amp;L'!G$3),6)</f>
        <v>39178.160000000003</v>
      </c>
      <c r="AJ173" s="16">
        <f>+ROUND(Pozisyon!$U$10*('Data - Simülasyon- P&amp;L'!AA173-'Data - Simülasyon- P&amp;L'!H$3),6)</f>
        <v>8414.1720000000005</v>
      </c>
      <c r="AK173" s="16">
        <f>+SUM(AD173:AJ173)</f>
        <v>73287.962250000011</v>
      </c>
      <c r="AL173" s="16">
        <f>+SMALL($AK$3:$AK$254,AB173)</f>
        <v>35286.396999999997</v>
      </c>
    </row>
    <row r="174" spans="1:38" ht="15" thickBot="1" x14ac:dyDescent="0.35">
      <c r="A174" s="5" t="s">
        <v>455</v>
      </c>
      <c r="B174" s="6">
        <v>8.31</v>
      </c>
      <c r="C174" s="5">
        <v>10.82</v>
      </c>
      <c r="D174" s="6">
        <v>4.2</v>
      </c>
      <c r="E174" s="5">
        <v>1.55</v>
      </c>
      <c r="F174" s="5">
        <v>6.98</v>
      </c>
      <c r="G174" s="5">
        <v>4.99</v>
      </c>
      <c r="H174" s="5">
        <v>4.28</v>
      </c>
      <c r="J174" s="5" t="s">
        <v>455</v>
      </c>
      <c r="K174" s="11">
        <f>+ROUND(LN(B174/B175),6)</f>
        <v>-2.0251000000000002E-2</v>
      </c>
      <c r="L174" s="11">
        <f>+ROUND(LN(C174/C175),6)</f>
        <v>-1.5589E-2</v>
      </c>
      <c r="M174" s="11">
        <f>+ROUND(LN(D174/D175),6)</f>
        <v>4.879E-2</v>
      </c>
      <c r="N174" s="11">
        <f>+ROUND(LN(E174/E175),6)</f>
        <v>1.9545E-2</v>
      </c>
      <c r="O174" s="11">
        <f>+ROUND(LN(F174/F175),6)</f>
        <v>-1.1396E-2</v>
      </c>
      <c r="P174" s="11">
        <f>+ROUND(LN(G174/G175),6)</f>
        <v>-2.1805000000000001E-2</v>
      </c>
      <c r="Q174" s="11">
        <f>+ROUND(LN(H174/H175),6)</f>
        <v>-4.6620000000000003E-3</v>
      </c>
      <c r="R174" s="3"/>
      <c r="T174" s="5" t="s">
        <v>173</v>
      </c>
      <c r="U174" s="15">
        <f>+ROUND(B$3*EXP(K174),6)</f>
        <v>7.4476399999999998</v>
      </c>
      <c r="V174" s="15">
        <f>+ROUND(C$3*EXP(L174),6)</f>
        <v>9.2053729999999998</v>
      </c>
      <c r="W174" s="15">
        <f>+ROUND(D$3*EXP(M174),6)</f>
        <v>2.9085000000000001</v>
      </c>
      <c r="X174" s="15">
        <f>+ROUND(E$3*EXP(N174),6)</f>
        <v>1.172698</v>
      </c>
      <c r="Y174" s="15">
        <f>+ROUND(F$3*EXP(O174),6)</f>
        <v>4.9235699999999998</v>
      </c>
      <c r="Z174" s="15">
        <f>+ROUND(G$3*EXP(P174),6)</f>
        <v>4.2366060000000001</v>
      </c>
      <c r="AA174" s="15">
        <f>+ROUND(H$3*EXP(Q174),6)</f>
        <v>3.404093</v>
      </c>
      <c r="AB174" s="1">
        <v>172</v>
      </c>
      <c r="AC174" s="5" t="s">
        <v>173</v>
      </c>
      <c r="AD174" s="16">
        <f>+ROUND(Pozisyon!$U$4*('Data - Simülasyon- P&amp;L'!U174-'Data - Simülasyon- P&amp;L'!B$3),6)</f>
        <v>-21939.84</v>
      </c>
      <c r="AE174" s="16">
        <f>+ROUND(Pozisyon!$U$5*('Data - Simülasyon- P&amp;L'!V174-'Data - Simülasyon- P&amp;L'!C$3),6)</f>
        <v>-3615.6750000000002</v>
      </c>
      <c r="AF174" s="16">
        <f>+ROUND(Pozisyon!$U$6*('Data - Simülasyon- P&amp;L'!W174-'Data - Simülasyon- P&amp;L'!D$3),6)</f>
        <v>2596.875</v>
      </c>
      <c r="AG174" s="16">
        <f>+ROUND(Pozisyon!$U$7*('Data - Simülasyon- P&amp;L'!X174-'Data - Simülasyon- P&amp;L'!E$3),6)</f>
        <v>8012.3940000000002</v>
      </c>
      <c r="AH174" s="16">
        <f>+ROUND(Pozisyon!$U$8*('Data - Simülasyon- P&amp;L'!Y174-'Data - Simülasyon- P&amp;L'!F$3),6)</f>
        <v>-12076.02</v>
      </c>
      <c r="AI174" s="16">
        <f>+ROUND(Pozisyon!$U$9*('Data - Simülasyon- P&amp;L'!Z174-'Data - Simülasyon- P&amp;L'!G$3),6)</f>
        <v>-28111.594000000001</v>
      </c>
      <c r="AJ174" s="16">
        <f>+ROUND(Pozisyon!$U$10*('Data - Simülasyon- P&amp;L'!AA174-'Data - Simülasyon- P&amp;L'!H$3),6)</f>
        <v>-5583.357</v>
      </c>
      <c r="AK174" s="16">
        <f>+SUM(AD174:AJ174)</f>
        <v>-60717.217000000004</v>
      </c>
      <c r="AL174" s="16">
        <f>+SMALL($AK$3:$AK$254,AB174)</f>
        <v>37492.47825</v>
      </c>
    </row>
    <row r="175" spans="1:38" ht="15" thickBot="1" x14ac:dyDescent="0.35">
      <c r="A175" s="5" t="s">
        <v>456</v>
      </c>
      <c r="B175" s="6">
        <v>8.48</v>
      </c>
      <c r="C175" s="5">
        <v>10.99</v>
      </c>
      <c r="D175" s="6">
        <v>4</v>
      </c>
      <c r="E175" s="5">
        <v>1.52</v>
      </c>
      <c r="F175" s="5">
        <v>7.06</v>
      </c>
      <c r="G175" s="5">
        <v>5.0999999999999996</v>
      </c>
      <c r="H175" s="5">
        <v>4.3</v>
      </c>
      <c r="J175" s="5" t="s">
        <v>456</v>
      </c>
      <c r="K175" s="11">
        <f>+ROUND(LN(B175/B176),6)</f>
        <v>-1.6375000000000001E-2</v>
      </c>
      <c r="L175" s="11">
        <f>+ROUND(LN(C175/C176),6)</f>
        <v>4.5599999999999998E-3</v>
      </c>
      <c r="M175" s="11">
        <f>+ROUND(LN(D175/D176),6)</f>
        <v>-9.9500000000000005E-3</v>
      </c>
      <c r="N175" s="11">
        <f>+ROUND(LN(E175/E176),6)</f>
        <v>1.9934E-2</v>
      </c>
      <c r="O175" s="11">
        <f>+ROUND(LN(F175/F176),6)</f>
        <v>2.4374E-2</v>
      </c>
      <c r="P175" s="11">
        <f>+ROUND(LN(G175/G176),6)</f>
        <v>0</v>
      </c>
      <c r="Q175" s="11">
        <f>+ROUND(LN(H175/H176),6)</f>
        <v>2.3280000000000002E-3</v>
      </c>
      <c r="R175" s="3"/>
      <c r="T175" s="5" t="s">
        <v>174</v>
      </c>
      <c r="U175" s="15">
        <f>+ROUND(B$3*EXP(K175),6)</f>
        <v>7.4765629999999996</v>
      </c>
      <c r="V175" s="15">
        <f>+ROUND(C$3*EXP(L175),6)</f>
        <v>9.3927329999999998</v>
      </c>
      <c r="W175" s="15">
        <f>+ROUND(D$3*EXP(M175),6)</f>
        <v>2.742575</v>
      </c>
      <c r="X175" s="15">
        <f>+ROUND(E$3*EXP(N175),6)</f>
        <v>1.173154</v>
      </c>
      <c r="Y175" s="15">
        <f>+ROUND(F$3*EXP(O175),6)</f>
        <v>5.1028739999999999</v>
      </c>
      <c r="Z175" s="15">
        <f>+ROUND(G$3*EXP(P175),6)</f>
        <v>4.33</v>
      </c>
      <c r="AA175" s="15">
        <f>+ROUND(H$3*EXP(Q175),6)</f>
        <v>3.4279709999999999</v>
      </c>
      <c r="AB175" s="1">
        <v>173</v>
      </c>
      <c r="AC175" s="5" t="s">
        <v>174</v>
      </c>
      <c r="AD175" s="16">
        <f>+ROUND(Pozisyon!$U$4*('Data - Simülasyon- P&amp;L'!U175-'Data - Simülasyon- P&amp;L'!B$3),6)</f>
        <v>-17774.928</v>
      </c>
      <c r="AE175" s="16">
        <f>+ROUND(Pozisyon!$U$5*('Data - Simülasyon- P&amp;L'!V175-'Data - Simülasyon- P&amp;L'!C$3),6)</f>
        <v>1068.325</v>
      </c>
      <c r="AF175" s="16">
        <f>+ROUND(Pozisyon!$U$6*('Data - Simülasyon- P&amp;L'!W175-'Data - Simülasyon- P&amp;L'!D$3),6)</f>
        <v>-514.21875</v>
      </c>
      <c r="AG175" s="16">
        <f>+ROUND(Pozisyon!$U$7*('Data - Simülasyon- P&amp;L'!X175-'Data - Simülasyon- P&amp;L'!E$3),6)</f>
        <v>8173.3620000000001</v>
      </c>
      <c r="AH175" s="16">
        <f>+ROUND(Pozisyon!$U$8*('Data - Simülasyon- P&amp;L'!Y175-'Data - Simülasyon- P&amp;L'!F$3),6)</f>
        <v>26295.036</v>
      </c>
      <c r="AI175" s="16">
        <f>+ROUND(Pozisyon!$U$9*('Data - Simülasyon- P&amp;L'!Z175-'Data - Simülasyon- P&amp;L'!G$3),6)</f>
        <v>0</v>
      </c>
      <c r="AJ175" s="16">
        <f>+ROUND(Pozisyon!$U$10*('Data - Simülasyon- P&amp;L'!AA175-'Data - Simülasyon- P&amp;L'!H$3),6)</f>
        <v>2797.8209999999999</v>
      </c>
      <c r="AK175" s="16">
        <f>+SUM(AD175:AJ175)</f>
        <v>20045.397250000002</v>
      </c>
      <c r="AL175" s="16">
        <f>+SMALL($AK$3:$AK$254,AB175)</f>
        <v>38344.017500000002</v>
      </c>
    </row>
    <row r="176" spans="1:38" ht="15" thickBot="1" x14ac:dyDescent="0.35">
      <c r="A176" s="5" t="s">
        <v>457</v>
      </c>
      <c r="B176" s="6">
        <v>8.6199999999999992</v>
      </c>
      <c r="C176" s="5">
        <v>10.94</v>
      </c>
      <c r="D176" s="6">
        <v>4.04</v>
      </c>
      <c r="E176" s="5">
        <v>1.49</v>
      </c>
      <c r="F176" s="5">
        <v>6.89</v>
      </c>
      <c r="G176" s="5">
        <v>5.0999999999999996</v>
      </c>
      <c r="H176" s="5">
        <v>4.29</v>
      </c>
      <c r="J176" s="5" t="s">
        <v>457</v>
      </c>
      <c r="K176" s="11">
        <f>+ROUND(LN(B176/B177),6)</f>
        <v>-1.6111E-2</v>
      </c>
      <c r="L176" s="11">
        <f>+ROUND(LN(C176/C177),6)</f>
        <v>9.1399999999999999E-4</v>
      </c>
      <c r="M176" s="11">
        <f>+ROUND(LN(D176/D177),6)</f>
        <v>-2.4719999999999998E-3</v>
      </c>
      <c r="N176" s="11">
        <f>+ROUND(LN(E176/E177),6)</f>
        <v>-6.6889999999999996E-3</v>
      </c>
      <c r="O176" s="11">
        <f>+ROUND(LN(F176/F177),6)</f>
        <v>-1.0108000000000001E-2</v>
      </c>
      <c r="P176" s="11">
        <f>+ROUND(LN(G176/G177),6)</f>
        <v>5.8999999999999999E-3</v>
      </c>
      <c r="Q176" s="11">
        <f>+ROUND(LN(H176/H177),6)</f>
        <v>7.0179999999999999E-3</v>
      </c>
      <c r="R176" s="3"/>
      <c r="T176" s="5" t="s">
        <v>175</v>
      </c>
      <c r="U176" s="15">
        <f>+ROUND(B$3*EXP(K176),6)</f>
        <v>7.4785370000000002</v>
      </c>
      <c r="V176" s="15">
        <f>+ROUND(C$3*EXP(L176),6)</f>
        <v>9.3585499999999993</v>
      </c>
      <c r="W176" s="15">
        <f>+ROUND(D$3*EXP(M176),6)</f>
        <v>2.7631610000000002</v>
      </c>
      <c r="X176" s="15">
        <f>+ROUND(E$3*EXP(N176),6)</f>
        <v>1.142333</v>
      </c>
      <c r="Y176" s="15">
        <f>+ROUND(F$3*EXP(O176),6)</f>
        <v>4.9299160000000004</v>
      </c>
      <c r="Z176" s="15">
        <f>+ROUND(G$3*EXP(P176),6)</f>
        <v>4.3556229999999996</v>
      </c>
      <c r="AA176" s="15">
        <f>+ROUND(H$3*EXP(Q176),6)</f>
        <v>3.444086</v>
      </c>
      <c r="AB176" s="1">
        <v>174</v>
      </c>
      <c r="AC176" s="5" t="s">
        <v>175</v>
      </c>
      <c r="AD176" s="16">
        <f>+ROUND(Pozisyon!$U$4*('Data - Simülasyon- P&amp;L'!U176-'Data - Simülasyon- P&amp;L'!B$3),6)</f>
        <v>-17490.671999999999</v>
      </c>
      <c r="AE176" s="16">
        <f>+ROUND(Pozisyon!$U$5*('Data - Simülasyon- P&amp;L'!V176-'Data - Simülasyon- P&amp;L'!C$3),6)</f>
        <v>213.75</v>
      </c>
      <c r="AF176" s="16">
        <f>+ROUND(Pozisyon!$U$6*('Data - Simülasyon- P&amp;L'!W176-'Data - Simülasyon- P&amp;L'!D$3),6)</f>
        <v>-128.23124999999999</v>
      </c>
      <c r="AG176" s="16">
        <f>+ROUND(Pozisyon!$U$7*('Data - Simülasyon- P&amp;L'!X176-'Data - Simülasyon- P&amp;L'!E$3),6)</f>
        <v>-2706.451</v>
      </c>
      <c r="AH176" s="16">
        <f>+ROUND(Pozisyon!$U$8*('Data - Simülasyon- P&amp;L'!Y176-'Data - Simülasyon- P&amp;L'!F$3),6)</f>
        <v>-10717.976000000001</v>
      </c>
      <c r="AI176" s="16">
        <f>+ROUND(Pozisyon!$U$9*('Data - Simülasyon- P&amp;L'!Z176-'Data - Simülasyon- P&amp;L'!G$3),6)</f>
        <v>7712.5230000000001</v>
      </c>
      <c r="AJ176" s="16">
        <f>+ROUND(Pozisyon!$U$10*('Data - Simülasyon- P&amp;L'!AA176-'Data - Simülasyon- P&amp;L'!H$3),6)</f>
        <v>8454.1859999999997</v>
      </c>
      <c r="AK176" s="16">
        <f>+SUM(AD176:AJ176)</f>
        <v>-14662.871249999998</v>
      </c>
      <c r="AL176" s="16">
        <f>+SMALL($AK$3:$AK$254,AB176)</f>
        <v>39068.510999999999</v>
      </c>
    </row>
    <row r="177" spans="1:38" ht="15" thickBot="1" x14ac:dyDescent="0.35">
      <c r="A177" s="5" t="s">
        <v>458</v>
      </c>
      <c r="B177" s="6">
        <v>8.76</v>
      </c>
      <c r="C177" s="5">
        <v>10.93</v>
      </c>
      <c r="D177" s="6">
        <v>4.05</v>
      </c>
      <c r="E177" s="5">
        <v>1.5</v>
      </c>
      <c r="F177" s="5">
        <v>6.96</v>
      </c>
      <c r="G177" s="5">
        <v>5.07</v>
      </c>
      <c r="H177" s="5">
        <v>4.26</v>
      </c>
      <c r="J177" s="5" t="s">
        <v>458</v>
      </c>
      <c r="K177" s="11">
        <f>+ROUND(LN(B177/B178),6)</f>
        <v>-6.8259999999999996E-3</v>
      </c>
      <c r="L177" s="11">
        <f>+ROUND(LN(C177/C178),6)</f>
        <v>1.1039999999999999E-2</v>
      </c>
      <c r="M177" s="11">
        <f>+ROUND(LN(D177/D178),6)</f>
        <v>1.4926E-2</v>
      </c>
      <c r="N177" s="11">
        <f>+ROUND(LN(E177/E178),6)</f>
        <v>-3.9220999999999999E-2</v>
      </c>
      <c r="O177" s="11">
        <f>+ROUND(LN(F177/F178),6)</f>
        <v>-7.6055999999999999E-2</v>
      </c>
      <c r="P177" s="11">
        <f>+ROUND(LN(G177/G178),6)</f>
        <v>-1.5656E-2</v>
      </c>
      <c r="Q177" s="11">
        <f>+ROUND(LN(H177/H178),6)</f>
        <v>-2.0906999999999999E-2</v>
      </c>
      <c r="R177" s="3"/>
      <c r="T177" s="5" t="s">
        <v>176</v>
      </c>
      <c r="U177" s="15">
        <f>+ROUND(B$3*EXP(K177),6)</f>
        <v>7.5482990000000001</v>
      </c>
      <c r="V177" s="15">
        <f>+ROUND(C$3*EXP(L177),6)</f>
        <v>9.4537960000000005</v>
      </c>
      <c r="W177" s="15">
        <f>+ROUND(D$3*EXP(M177),6)</f>
        <v>2.811655</v>
      </c>
      <c r="X177" s="15">
        <f>+ROUND(E$3*EXP(N177),6)</f>
        <v>1.105769</v>
      </c>
      <c r="Y177" s="15">
        <f>+ROUND(F$3*EXP(O177),6)</f>
        <v>4.6152860000000002</v>
      </c>
      <c r="Z177" s="15">
        <f>+ROUND(G$3*EXP(P177),6)</f>
        <v>4.2627370000000004</v>
      </c>
      <c r="AA177" s="15">
        <f>+ROUND(H$3*EXP(Q177),6)</f>
        <v>3.34924</v>
      </c>
      <c r="AB177" s="1">
        <v>175</v>
      </c>
      <c r="AC177" s="5" t="s">
        <v>176</v>
      </c>
      <c r="AD177" s="16">
        <f>+ROUND(Pozisyon!$U$4*('Data - Simülasyon- P&amp;L'!U177-'Data - Simülasyon- P&amp;L'!B$3),6)</f>
        <v>-7444.9440000000004</v>
      </c>
      <c r="AE177" s="16">
        <f>+ROUND(Pozisyon!$U$5*('Data - Simülasyon- P&amp;L'!V177-'Data - Simülasyon- P&amp;L'!C$3),6)</f>
        <v>2594.9</v>
      </c>
      <c r="AF177" s="16">
        <f>+ROUND(Pozisyon!$U$6*('Data - Simülasyon- P&amp;L'!W177-'Data - Simülasyon- P&amp;L'!D$3),6)</f>
        <v>781.03125</v>
      </c>
      <c r="AG177" s="16">
        <f>+ROUND(Pozisyon!$U$7*('Data - Simülasyon- P&amp;L'!X177-'Data - Simülasyon- P&amp;L'!E$3),6)</f>
        <v>-15613.543</v>
      </c>
      <c r="AH177" s="16">
        <f>+ROUND(Pozisyon!$U$8*('Data - Simülasyon- P&amp;L'!Y177-'Data - Simülasyon- P&amp;L'!F$3),6)</f>
        <v>-78048.796000000002</v>
      </c>
      <c r="AI177" s="16">
        <f>+ROUND(Pozisyon!$U$9*('Data - Simülasyon- P&amp;L'!Z177-'Data - Simülasyon- P&amp;L'!G$3),6)</f>
        <v>-20246.163</v>
      </c>
      <c r="AJ177" s="16">
        <f>+ROUND(Pozisyon!$U$10*('Data - Simülasyon- P&amp;L'!AA177-'Data - Simülasyon- P&amp;L'!H$3),6)</f>
        <v>-24836.76</v>
      </c>
      <c r="AK177" s="16">
        <f>+SUM(AD177:AJ177)</f>
        <v>-142814.27475000001</v>
      </c>
      <c r="AL177" s="16">
        <f>+SMALL($AK$3:$AK$254,AB177)</f>
        <v>41083.623999999996</v>
      </c>
    </row>
    <row r="178" spans="1:38" ht="15" thickBot="1" x14ac:dyDescent="0.35">
      <c r="A178" s="5" t="s">
        <v>459</v>
      </c>
      <c r="B178" s="6">
        <v>8.82</v>
      </c>
      <c r="C178" s="5">
        <v>10.81</v>
      </c>
      <c r="D178" s="6">
        <v>3.99</v>
      </c>
      <c r="E178" s="5">
        <v>1.56</v>
      </c>
      <c r="F178" s="5">
        <v>7.51</v>
      </c>
      <c r="G178" s="5">
        <v>5.15</v>
      </c>
      <c r="H178" s="5">
        <v>4.3499999999999996</v>
      </c>
      <c r="J178" s="5" t="s">
        <v>459</v>
      </c>
      <c r="K178" s="11">
        <f>+ROUND(LN(B178/B179),6)</f>
        <v>1.3698999999999999E-2</v>
      </c>
      <c r="L178" s="11">
        <f>+ROUND(LN(C178/C179),6)</f>
        <v>-1.1953999999999999E-2</v>
      </c>
      <c r="M178" s="11">
        <f>+ROUND(LN(D178/D179),6)</f>
        <v>0</v>
      </c>
      <c r="N178" s="11">
        <f>+ROUND(LN(E178/E179),6)</f>
        <v>1.2903E-2</v>
      </c>
      <c r="O178" s="11">
        <f>+ROUND(LN(F178/F179),6)</f>
        <v>-3.9870000000000001E-3</v>
      </c>
      <c r="P178" s="11">
        <f>+ROUND(LN(G178/G179),6)</f>
        <v>-1.9400000000000001E-3</v>
      </c>
      <c r="Q178" s="11">
        <f>+ROUND(LN(H178/H179),6)</f>
        <v>2.3257E-2</v>
      </c>
      <c r="R178" s="3"/>
      <c r="T178" s="5" t="s">
        <v>177</v>
      </c>
      <c r="U178" s="15">
        <f>+ROUND(B$3*EXP(K178),6)</f>
        <v>7.7048290000000001</v>
      </c>
      <c r="V178" s="15">
        <f>+ROUND(C$3*EXP(L178),6)</f>
        <v>9.2388949999999994</v>
      </c>
      <c r="W178" s="15">
        <f>+ROUND(D$3*EXP(M178),6)</f>
        <v>2.77</v>
      </c>
      <c r="X178" s="15">
        <f>+ROUND(E$3*EXP(N178),6)</f>
        <v>1.1649350000000001</v>
      </c>
      <c r="Y178" s="15">
        <f>+ROUND(F$3*EXP(O178),6)</f>
        <v>4.9601839999999999</v>
      </c>
      <c r="Z178" s="15">
        <f>+ROUND(G$3*EXP(P178),6)</f>
        <v>4.3216080000000003</v>
      </c>
      <c r="AA178" s="15">
        <f>+ROUND(H$3*EXP(Q178),6)</f>
        <v>3.5004710000000001</v>
      </c>
      <c r="AB178" s="1">
        <v>176</v>
      </c>
      <c r="AC178" s="5" t="s">
        <v>177</v>
      </c>
      <c r="AD178" s="16">
        <f>+ROUND(Pozisyon!$U$4*('Data - Simülasyon- P&amp;L'!U178-'Data - Simülasyon- P&amp;L'!B$3),6)</f>
        <v>15095.376</v>
      </c>
      <c r="AE178" s="16">
        <f>+ROUND(Pozisyon!$U$5*('Data - Simülasyon- P&amp;L'!V178-'Data - Simülasyon- P&amp;L'!C$3),6)</f>
        <v>-2777.625</v>
      </c>
      <c r="AF178" s="16">
        <f>+ROUND(Pozisyon!$U$6*('Data - Simülasyon- P&amp;L'!W178-'Data - Simülasyon- P&amp;L'!D$3),6)</f>
        <v>0</v>
      </c>
      <c r="AG178" s="16">
        <f>+ROUND(Pozisyon!$U$7*('Data - Simülasyon- P&amp;L'!X178-'Data - Simülasyon- P&amp;L'!E$3),6)</f>
        <v>5272.0550000000003</v>
      </c>
      <c r="AH178" s="16">
        <f>+ROUND(Pozisyon!$U$8*('Data - Simülasyon- P&amp;L'!Y178-'Data - Simülasyon- P&amp;L'!F$3),6)</f>
        <v>-4240.6239999999998</v>
      </c>
      <c r="AI178" s="16">
        <f>+ROUND(Pozisyon!$U$9*('Data - Simülasyon- P&amp;L'!Z178-'Data - Simülasyon- P&amp;L'!G$3),6)</f>
        <v>-2525.9920000000002</v>
      </c>
      <c r="AJ178" s="16">
        <f>+ROUND(Pozisyon!$U$10*('Data - Simülasyon- P&amp;L'!AA178-'Data - Simülasyon- P&amp;L'!H$3),6)</f>
        <v>28245.321</v>
      </c>
      <c r="AK178" s="16">
        <f>+SUM(AD178:AJ178)</f>
        <v>39068.510999999999</v>
      </c>
      <c r="AL178" s="16">
        <f>+SMALL($AK$3:$AK$254,AB178)</f>
        <v>41252.602500000001</v>
      </c>
    </row>
    <row r="179" spans="1:38" ht="15" thickBot="1" x14ac:dyDescent="0.35">
      <c r="A179" s="5" t="s">
        <v>460</v>
      </c>
      <c r="B179" s="6">
        <v>8.6999999999999993</v>
      </c>
      <c r="C179" s="5">
        <v>10.94</v>
      </c>
      <c r="D179" s="6">
        <v>3.99</v>
      </c>
      <c r="E179" s="5">
        <v>1.54</v>
      </c>
      <c r="F179" s="5">
        <v>7.54</v>
      </c>
      <c r="G179" s="5">
        <v>5.16</v>
      </c>
      <c r="H179" s="5">
        <v>4.25</v>
      </c>
      <c r="J179" s="5" t="s">
        <v>460</v>
      </c>
      <c r="K179" s="11">
        <f>+ROUND(LN(B179/B180),6)</f>
        <v>2.6793000000000001E-2</v>
      </c>
      <c r="L179" s="11">
        <f>+ROUND(LN(C179/C180),6)</f>
        <v>2.6866000000000001E-2</v>
      </c>
      <c r="M179" s="11">
        <f>+ROUND(LN(D179/D180),6)</f>
        <v>-2.503E-3</v>
      </c>
      <c r="N179" s="11">
        <f>+ROUND(LN(E179/E180),6)</f>
        <v>-6.4729999999999996E-3</v>
      </c>
      <c r="O179" s="11">
        <f>+ROUND(LN(F179/F180),6)</f>
        <v>-2.6489999999999999E-3</v>
      </c>
      <c r="P179" s="11">
        <f>+ROUND(LN(G179/G180),6)</f>
        <v>2.3529999999999999E-2</v>
      </c>
      <c r="Q179" s="11">
        <f>+ROUND(LN(H179/H180),6)</f>
        <v>1.6608000000000001E-2</v>
      </c>
      <c r="R179" s="3"/>
      <c r="T179" s="5" t="s">
        <v>178</v>
      </c>
      <c r="U179" s="15">
        <f>+ROUND(B$3*EXP(K179),6)</f>
        <v>7.8063789999999997</v>
      </c>
      <c r="V179" s="15">
        <f>+ROUND(C$3*EXP(L179),6)</f>
        <v>9.6046019999999999</v>
      </c>
      <c r="W179" s="15">
        <f>+ROUND(D$3*EXP(M179),6)</f>
        <v>2.7630750000000002</v>
      </c>
      <c r="X179" s="15">
        <f>+ROUND(E$3*EXP(N179),6)</f>
        <v>1.1425799999999999</v>
      </c>
      <c r="Y179" s="15">
        <f>+ROUND(F$3*EXP(O179),6)</f>
        <v>4.966825</v>
      </c>
      <c r="Z179" s="15">
        <f>+ROUND(G$3*EXP(P179),6)</f>
        <v>4.4330930000000004</v>
      </c>
      <c r="AA179" s="15">
        <f>+ROUND(H$3*EXP(Q179),6)</f>
        <v>3.477274</v>
      </c>
      <c r="AB179" s="1">
        <v>177</v>
      </c>
      <c r="AC179" s="5" t="s">
        <v>178</v>
      </c>
      <c r="AD179" s="16">
        <f>+ROUND(Pozisyon!$U$4*('Data - Simülasyon- P&amp;L'!U179-'Data - Simülasyon- P&amp;L'!B$3),6)</f>
        <v>29718.576000000001</v>
      </c>
      <c r="AE179" s="16">
        <f>+ROUND(Pozisyon!$U$5*('Data - Simülasyon- P&amp;L'!V179-'Data - Simülasyon- P&amp;L'!C$3),6)</f>
        <v>6365.05</v>
      </c>
      <c r="AF179" s="16">
        <f>+ROUND(Pozisyon!$U$6*('Data - Simülasyon- P&amp;L'!W179-'Data - Simülasyon- P&amp;L'!D$3),6)</f>
        <v>-129.84375</v>
      </c>
      <c r="AG179" s="16">
        <f>+ROUND(Pozisyon!$U$7*('Data - Simülasyon- P&amp;L'!X179-'Data - Simülasyon- P&amp;L'!E$3),6)</f>
        <v>-2619.2600000000002</v>
      </c>
      <c r="AH179" s="16">
        <f>+ROUND(Pozisyon!$U$8*('Data - Simülasyon- P&amp;L'!Y179-'Data - Simülasyon- P&amp;L'!F$3),6)</f>
        <v>-2819.45</v>
      </c>
      <c r="AI179" s="16">
        <f>+ROUND(Pozisyon!$U$9*('Data - Simülasyon- P&amp;L'!Z179-'Data - Simülasyon- P&amp;L'!G$3),6)</f>
        <v>31030.992999999999</v>
      </c>
      <c r="AJ179" s="16">
        <f>+ROUND(Pozisyon!$U$10*('Data - Simülasyon- P&amp;L'!AA179-'Data - Simülasyon- P&amp;L'!H$3),6)</f>
        <v>20103.173999999999</v>
      </c>
      <c r="AK179" s="16">
        <f>+SUM(AD179:AJ179)</f>
        <v>81649.239249999999</v>
      </c>
      <c r="AL179" s="16">
        <f>+SMALL($AK$3:$AK$254,AB179)</f>
        <v>41322.418250000002</v>
      </c>
    </row>
    <row r="180" spans="1:38" ht="15" thickBot="1" x14ac:dyDescent="0.35">
      <c r="A180" s="5" t="s">
        <v>461</v>
      </c>
      <c r="B180" s="6">
        <v>8.4700000000000006</v>
      </c>
      <c r="C180" s="5">
        <v>10.65</v>
      </c>
      <c r="D180" s="6">
        <v>4</v>
      </c>
      <c r="E180" s="5">
        <v>1.55</v>
      </c>
      <c r="F180" s="5">
        <v>7.56</v>
      </c>
      <c r="G180" s="5">
        <v>5.04</v>
      </c>
      <c r="H180" s="5">
        <v>4.18</v>
      </c>
      <c r="J180" s="5" t="s">
        <v>461</v>
      </c>
      <c r="K180" s="11">
        <f>+ROUND(LN(B180/B181),6)</f>
        <v>1.5467E-2</v>
      </c>
      <c r="L180" s="11">
        <f>+ROUND(LN(C180/C181),6)</f>
        <v>1.8799999999999999E-3</v>
      </c>
      <c r="M180" s="11">
        <f>+ROUND(LN(D180/D181),6)</f>
        <v>0</v>
      </c>
      <c r="N180" s="11">
        <f>+ROUND(LN(E180/E181),6)</f>
        <v>-1.917E-2</v>
      </c>
      <c r="O180" s="11">
        <f>+ROUND(LN(F180/F181),6)</f>
        <v>-1.7049999999999999E-2</v>
      </c>
      <c r="P180" s="11">
        <f>+ROUND(LN(G180/G181),6)</f>
        <v>-9.8720000000000006E-3</v>
      </c>
      <c r="Q180" s="11">
        <f>+ROUND(LN(H180/H181),6)</f>
        <v>-4.7730000000000003E-3</v>
      </c>
      <c r="R180" s="3"/>
      <c r="T180" s="5" t="s">
        <v>179</v>
      </c>
      <c r="U180" s="15">
        <f>+ROUND(B$3*EXP(K180),6)</f>
        <v>7.7184629999999999</v>
      </c>
      <c r="V180" s="15">
        <f>+ROUND(C$3*EXP(L180),6)</f>
        <v>9.3675949999999997</v>
      </c>
      <c r="W180" s="15">
        <f>+ROUND(D$3*EXP(M180),6)</f>
        <v>2.77</v>
      </c>
      <c r="X180" s="15">
        <f>+ROUND(E$3*EXP(N180),6)</f>
        <v>1.1281639999999999</v>
      </c>
      <c r="Y180" s="15">
        <f>+ROUND(F$3*EXP(O180),6)</f>
        <v>4.8958110000000001</v>
      </c>
      <c r="Z180" s="15">
        <f>+ROUND(G$3*EXP(P180),6)</f>
        <v>4.2874650000000001</v>
      </c>
      <c r="AA180" s="15">
        <f>+ROUND(H$3*EXP(Q180),6)</f>
        <v>3.403715</v>
      </c>
      <c r="AB180" s="1">
        <v>178</v>
      </c>
      <c r="AC180" s="5" t="s">
        <v>179</v>
      </c>
      <c r="AD180" s="16">
        <f>+ROUND(Pozisyon!$U$4*('Data - Simülasyon- P&amp;L'!U180-'Data - Simülasyon- P&amp;L'!B$3),6)</f>
        <v>17058.671999999999</v>
      </c>
      <c r="AE180" s="16">
        <f>+ROUND(Pozisyon!$U$5*('Data - Simülasyon- P&amp;L'!V180-'Data - Simülasyon- P&amp;L'!C$3),6)</f>
        <v>439.875</v>
      </c>
      <c r="AF180" s="16">
        <f>+ROUND(Pozisyon!$U$6*('Data - Simülasyon- P&amp;L'!W180-'Data - Simülasyon- P&amp;L'!D$3),6)</f>
        <v>0</v>
      </c>
      <c r="AG180" s="16">
        <f>+ROUND(Pozisyon!$U$7*('Data - Simülasyon- P&amp;L'!X180-'Data - Simülasyon- P&amp;L'!E$3),6)</f>
        <v>-7708.1080000000002</v>
      </c>
      <c r="AH180" s="16">
        <f>+ROUND(Pozisyon!$U$8*('Data - Simülasyon- P&amp;L'!Y180-'Data - Simülasyon- P&amp;L'!F$3),6)</f>
        <v>-18016.446</v>
      </c>
      <c r="AI180" s="16">
        <f>+ROUND(Pozisyon!$U$9*('Data - Simülasyon- P&amp;L'!Z180-'Data - Simülasyon- P&amp;L'!G$3),6)</f>
        <v>-12803.035</v>
      </c>
      <c r="AJ180" s="16">
        <f>+ROUND(Pozisyon!$U$10*('Data - Simülasyon- P&amp;L'!AA180-'Data - Simülasyon- P&amp;L'!H$3),6)</f>
        <v>-5716.0349999999999</v>
      </c>
      <c r="AK180" s="16">
        <f>+SUM(AD180:AJ180)</f>
        <v>-26745.077000000001</v>
      </c>
      <c r="AL180" s="16">
        <f>+SMALL($AK$3:$AK$254,AB180)</f>
        <v>41954.22</v>
      </c>
    </row>
    <row r="181" spans="1:38" ht="15" thickBot="1" x14ac:dyDescent="0.35">
      <c r="A181" s="5" t="s">
        <v>462</v>
      </c>
      <c r="B181" s="6">
        <v>8.34</v>
      </c>
      <c r="C181" s="5">
        <v>10.63</v>
      </c>
      <c r="D181" s="6">
        <v>4</v>
      </c>
      <c r="E181" s="5">
        <v>1.58</v>
      </c>
      <c r="F181" s="5">
        <v>7.69</v>
      </c>
      <c r="G181" s="5">
        <v>5.09</v>
      </c>
      <c r="H181" s="5">
        <v>4.2</v>
      </c>
      <c r="J181" s="5" t="s">
        <v>462</v>
      </c>
      <c r="K181" s="11">
        <f>+ROUND(LN(B181/B182),6)</f>
        <v>1.1999999999999999E-3</v>
      </c>
      <c r="L181" s="11">
        <f>+ROUND(LN(C181/C182),6)</f>
        <v>6.607E-3</v>
      </c>
      <c r="M181" s="11">
        <f>+ROUND(LN(D181/D182),6)</f>
        <v>-2.4970000000000001E-3</v>
      </c>
      <c r="N181" s="11">
        <f>+ROUND(LN(E181/E182),6)</f>
        <v>-6.3090000000000004E-3</v>
      </c>
      <c r="O181" s="11">
        <f>+ROUND(LN(F181/F182),6)</f>
        <v>-6.4809999999999998E-3</v>
      </c>
      <c r="P181" s="11">
        <f>+ROUND(LN(G181/G182),6)</f>
        <v>5.4503999999999997E-2</v>
      </c>
      <c r="Q181" s="11">
        <f>+ROUND(LN(H181/H182),6)</f>
        <v>2.3839999999999998E-3</v>
      </c>
      <c r="R181" s="3"/>
      <c r="T181" s="5" t="s">
        <v>180</v>
      </c>
      <c r="U181" s="15">
        <f>+ROUND(B$3*EXP(K181),6)</f>
        <v>7.6091249999999997</v>
      </c>
      <c r="V181" s="15">
        <f>+ROUND(C$3*EXP(L181),6)</f>
        <v>9.4119799999999998</v>
      </c>
      <c r="W181" s="15">
        <f>+ROUND(D$3*EXP(M181),6)</f>
        <v>2.7630919999999999</v>
      </c>
      <c r="X181" s="15">
        <f>+ROUND(E$3*EXP(N181),6)</f>
        <v>1.1427670000000001</v>
      </c>
      <c r="Y181" s="15">
        <f>+ROUND(F$3*EXP(O181),6)</f>
        <v>4.9478289999999996</v>
      </c>
      <c r="Z181" s="15">
        <f>+ROUND(G$3*EXP(P181),6)</f>
        <v>4.5725519999999999</v>
      </c>
      <c r="AA181" s="15">
        <f>+ROUND(H$3*EXP(Q181),6)</f>
        <v>3.4281630000000001</v>
      </c>
      <c r="AB181" s="1">
        <v>179</v>
      </c>
      <c r="AC181" s="5" t="s">
        <v>180</v>
      </c>
      <c r="AD181" s="16">
        <f>+ROUND(Pozisyon!$U$4*('Data - Simülasyon- P&amp;L'!U181-'Data - Simülasyon- P&amp;L'!B$3),6)</f>
        <v>1314</v>
      </c>
      <c r="AE181" s="16">
        <f>+ROUND(Pozisyon!$U$5*('Data - Simülasyon- P&amp;L'!V181-'Data - Simülasyon- P&amp;L'!C$3),6)</f>
        <v>1549.5</v>
      </c>
      <c r="AF181" s="16">
        <f>+ROUND(Pozisyon!$U$6*('Data - Simülasyon- P&amp;L'!W181-'Data - Simülasyon- P&amp;L'!D$3),6)</f>
        <v>-129.52500000000001</v>
      </c>
      <c r="AG181" s="16">
        <f>+ROUND(Pozisyon!$U$7*('Data - Simülasyon- P&amp;L'!X181-'Data - Simülasyon- P&amp;L'!E$3),6)</f>
        <v>-2553.2489999999998</v>
      </c>
      <c r="AH181" s="16">
        <f>+ROUND(Pozisyon!$U$8*('Data - Simülasyon- P&amp;L'!Y181-'Data - Simülasyon- P&amp;L'!F$3),6)</f>
        <v>-6884.5940000000001</v>
      </c>
      <c r="AI181" s="16">
        <f>+ROUND(Pozisyon!$U$9*('Data - Simülasyon- P&amp;L'!Z181-'Data - Simülasyon- P&amp;L'!G$3),6)</f>
        <v>73008.152000000002</v>
      </c>
      <c r="AJ181" s="16">
        <f>+ROUND(Pozisyon!$U$10*('Data - Simülasyon- P&amp;L'!AA181-'Data - Simülasyon- P&amp;L'!H$3),6)</f>
        <v>2865.2130000000002</v>
      </c>
      <c r="AK181" s="16">
        <f>+SUM(AD181:AJ181)</f>
        <v>69169.497000000003</v>
      </c>
      <c r="AL181" s="16">
        <f>+SMALL($AK$3:$AK$254,AB181)</f>
        <v>42272.375749999999</v>
      </c>
    </row>
    <row r="182" spans="1:38" ht="15" thickBot="1" x14ac:dyDescent="0.35">
      <c r="A182" s="5" t="s">
        <v>463</v>
      </c>
      <c r="B182" s="6">
        <v>8.33</v>
      </c>
      <c r="C182" s="5">
        <v>10.56</v>
      </c>
      <c r="D182" s="6">
        <v>4.01</v>
      </c>
      <c r="E182" s="5">
        <v>1.59</v>
      </c>
      <c r="F182" s="5">
        <v>7.74</v>
      </c>
      <c r="G182" s="5">
        <v>4.82</v>
      </c>
      <c r="H182" s="5">
        <v>4.1900000000000004</v>
      </c>
      <c r="J182" s="5" t="s">
        <v>463</v>
      </c>
      <c r="K182" s="11">
        <f>+ROUND(LN(B182/B183),6)</f>
        <v>2.5533E-2</v>
      </c>
      <c r="L182" s="11">
        <f>+ROUND(LN(C182/C183),6)</f>
        <v>2.7845999999999999E-2</v>
      </c>
      <c r="M182" s="11">
        <f>+ROUND(LN(D182/D183),6)</f>
        <v>-4.9750000000000003E-3</v>
      </c>
      <c r="N182" s="11">
        <f>+ROUND(LN(E182/E183),6)</f>
        <v>2.5479000000000002E-2</v>
      </c>
      <c r="O182" s="11">
        <f>+ROUND(LN(F182/F183),6)</f>
        <v>1.5625E-2</v>
      </c>
      <c r="P182" s="11">
        <f>+ROUND(LN(G182/G183),6)</f>
        <v>4.0217000000000003E-2</v>
      </c>
      <c r="Q182" s="11">
        <f>+ROUND(LN(H182/H183),6)</f>
        <v>2.9058E-2</v>
      </c>
      <c r="R182" s="3"/>
      <c r="T182" s="5" t="s">
        <v>181</v>
      </c>
      <c r="U182" s="15">
        <f>+ROUND(B$3*EXP(K182),6)</f>
        <v>7.7965489999999997</v>
      </c>
      <c r="V182" s="15">
        <f>+ROUND(C$3*EXP(L182),6)</f>
        <v>9.6140190000000008</v>
      </c>
      <c r="W182" s="15">
        <f>+ROUND(D$3*EXP(M182),6)</f>
        <v>2.7562530000000001</v>
      </c>
      <c r="X182" s="15">
        <f>+ROUND(E$3*EXP(N182),6)</f>
        <v>1.1796770000000001</v>
      </c>
      <c r="Y182" s="15">
        <f>+ROUND(F$3*EXP(O182),6)</f>
        <v>5.0584239999999996</v>
      </c>
      <c r="Z182" s="15">
        <f>+ROUND(G$3*EXP(P182),6)</f>
        <v>4.5076890000000001</v>
      </c>
      <c r="AA182" s="15">
        <f>+ROUND(H$3*EXP(Q182),6)</f>
        <v>3.5208360000000001</v>
      </c>
      <c r="AB182" s="1">
        <v>180</v>
      </c>
      <c r="AC182" s="5" t="s">
        <v>181</v>
      </c>
      <c r="AD182" s="16">
        <f>+ROUND(Pozisyon!$U$4*('Data - Simülasyon- P&amp;L'!U182-'Data - Simülasyon- P&amp;L'!B$3),6)</f>
        <v>28303.056</v>
      </c>
      <c r="AE182" s="16">
        <f>+ROUND(Pozisyon!$U$5*('Data - Simülasyon- P&amp;L'!V182-'Data - Simülasyon- P&amp;L'!C$3),6)</f>
        <v>6600.4750000000004</v>
      </c>
      <c r="AF182" s="16">
        <f>+ROUND(Pozisyon!$U$6*('Data - Simülasyon- P&amp;L'!W182-'Data - Simülasyon- P&amp;L'!D$3),6)</f>
        <v>-257.75625000000002</v>
      </c>
      <c r="AG182" s="16">
        <f>+ROUND(Pozisyon!$U$7*('Data - Simülasyon- P&amp;L'!X182-'Data - Simülasyon- P&amp;L'!E$3),6)</f>
        <v>10475.981</v>
      </c>
      <c r="AH182" s="16">
        <f>+ROUND(Pozisyon!$U$8*('Data - Simülasyon- P&amp;L'!Y182-'Data - Simülasyon- P&amp;L'!F$3),6)</f>
        <v>16782.736000000001</v>
      </c>
      <c r="AI182" s="16">
        <f>+ROUND(Pozisyon!$U$9*('Data - Simülasyon- P&amp;L'!Z182-'Data - Simülasyon- P&amp;L'!G$3),6)</f>
        <v>53484.389000000003</v>
      </c>
      <c r="AJ182" s="16">
        <f>+ROUND(Pozisyon!$U$10*('Data - Simülasyon- P&amp;L'!AA182-'Data - Simülasyon- P&amp;L'!H$3),6)</f>
        <v>35393.436000000002</v>
      </c>
      <c r="AK182" s="16">
        <f>+SUM(AD182:AJ182)</f>
        <v>150782.31675</v>
      </c>
      <c r="AL182" s="16">
        <f>+SMALL($AK$3:$AK$254,AB182)</f>
        <v>42769.599000000002</v>
      </c>
    </row>
    <row r="183" spans="1:38" ht="15" thickBot="1" x14ac:dyDescent="0.35">
      <c r="A183" s="5" t="s">
        <v>464</v>
      </c>
      <c r="B183" s="6">
        <v>8.1199999999999992</v>
      </c>
      <c r="C183" s="5">
        <v>10.27</v>
      </c>
      <c r="D183" s="6">
        <v>4.03</v>
      </c>
      <c r="E183" s="5">
        <v>1.55</v>
      </c>
      <c r="F183" s="5">
        <v>7.62</v>
      </c>
      <c r="G183" s="5">
        <v>4.63</v>
      </c>
      <c r="H183" s="5">
        <v>4.07</v>
      </c>
      <c r="J183" s="5" t="s">
        <v>464</v>
      </c>
      <c r="K183" s="11">
        <f>+ROUND(LN(B183/B184),6)</f>
        <v>-2.3129E-2</v>
      </c>
      <c r="L183" s="11">
        <f>+ROUND(LN(C183/C184),6)</f>
        <v>-2.0242E-2</v>
      </c>
      <c r="M183" s="11">
        <f>+ROUND(LN(D183/D184),6)</f>
        <v>4.9750000000000003E-3</v>
      </c>
      <c r="N183" s="11">
        <f>+ROUND(LN(E183/E184),6)</f>
        <v>-6.4310000000000001E-3</v>
      </c>
      <c r="O183" s="11">
        <f>+ROUND(LN(F183/F184),6)</f>
        <v>-1.4331999999999999E-2</v>
      </c>
      <c r="P183" s="11">
        <f>+ROUND(LN(G183/G184),6)</f>
        <v>-1.7131E-2</v>
      </c>
      <c r="Q183" s="11">
        <f>+ROUND(LN(H183/H184),6)</f>
        <v>-2.4272999999999999E-2</v>
      </c>
      <c r="R183" s="3"/>
      <c r="T183" s="5" t="s">
        <v>182</v>
      </c>
      <c r="U183" s="15">
        <f>+ROUND(B$3*EXP(K183),6)</f>
        <v>7.4262370000000004</v>
      </c>
      <c r="V183" s="15">
        <f>+ROUND(C$3*EXP(L183),6)</f>
        <v>9.1626399999999997</v>
      </c>
      <c r="W183" s="15">
        <f>+ROUND(D$3*EXP(M183),6)</f>
        <v>2.7838150000000002</v>
      </c>
      <c r="X183" s="15">
        <f>+ROUND(E$3*EXP(N183),6)</f>
        <v>1.142628</v>
      </c>
      <c r="Y183" s="15">
        <f>+ROUND(F$3*EXP(O183),6)</f>
        <v>4.9091360000000002</v>
      </c>
      <c r="Z183" s="15">
        <f>+ROUND(G$3*EXP(P183),6)</f>
        <v>4.2564549999999999</v>
      </c>
      <c r="AA183" s="15">
        <f>+ROUND(H$3*EXP(Q183),6)</f>
        <v>3.3379859999999999</v>
      </c>
      <c r="AB183" s="1">
        <v>181</v>
      </c>
      <c r="AC183" s="5" t="s">
        <v>182</v>
      </c>
      <c r="AD183" s="16">
        <f>+ROUND(Pozisyon!$U$4*('Data - Simülasyon- P&amp;L'!U183-'Data - Simülasyon- P&amp;L'!B$3),6)</f>
        <v>-25021.871999999999</v>
      </c>
      <c r="AE183" s="16">
        <f>+ROUND(Pozisyon!$U$5*('Data - Simülasyon- P&amp;L'!V183-'Data - Simülasyon- P&amp;L'!C$3),6)</f>
        <v>-4684</v>
      </c>
      <c r="AF183" s="16">
        <f>+ROUND(Pozisyon!$U$6*('Data - Simülasyon- P&amp;L'!W183-'Data - Simülasyon- P&amp;L'!D$3),6)</f>
        <v>259.03125</v>
      </c>
      <c r="AG183" s="16">
        <f>+ROUND(Pozisyon!$U$7*('Data - Simülasyon- P&amp;L'!X183-'Data - Simülasyon- P&amp;L'!E$3),6)</f>
        <v>-2602.3159999999998</v>
      </c>
      <c r="AH183" s="16">
        <f>+ROUND(Pozisyon!$U$8*('Data - Simülasyon- P&amp;L'!Y183-'Data - Simülasyon- P&amp;L'!F$3),6)</f>
        <v>-15164.896000000001</v>
      </c>
      <c r="AI183" s="16">
        <f>+ROUND(Pozisyon!$U$9*('Data - Simülasyon- P&amp;L'!Z183-'Data - Simülasyon- P&amp;L'!G$3),6)</f>
        <v>-22137.044999999998</v>
      </c>
      <c r="AJ183" s="16">
        <f>+ROUND(Pozisyon!$U$10*('Data - Simülasyon- P&amp;L'!AA183-'Data - Simülasyon- P&amp;L'!H$3),6)</f>
        <v>-28786.914000000001</v>
      </c>
      <c r="AK183" s="16">
        <f>+SUM(AD183:AJ183)</f>
        <v>-98138.011750000005</v>
      </c>
      <c r="AL183" s="16">
        <f>+SMALL($AK$3:$AK$254,AB183)</f>
        <v>43174.475249999996</v>
      </c>
    </row>
    <row r="184" spans="1:38" ht="15" thickBot="1" x14ac:dyDescent="0.35">
      <c r="A184" s="5" t="s">
        <v>465</v>
      </c>
      <c r="B184" s="6">
        <v>8.31</v>
      </c>
      <c r="C184" s="5">
        <v>10.48</v>
      </c>
      <c r="D184" s="6">
        <v>4.01</v>
      </c>
      <c r="E184" s="5">
        <v>1.56</v>
      </c>
      <c r="F184" s="5">
        <v>7.73</v>
      </c>
      <c r="G184" s="5">
        <v>4.71</v>
      </c>
      <c r="H184" s="5">
        <v>4.17</v>
      </c>
      <c r="J184" s="5" t="s">
        <v>465</v>
      </c>
      <c r="K184" s="11">
        <f>+ROUND(LN(B184/B185),6)</f>
        <v>1.0888999999999999E-2</v>
      </c>
      <c r="L184" s="11">
        <f>+ROUND(LN(C184/C185),6)</f>
        <v>5.3907999999999998E-2</v>
      </c>
      <c r="M184" s="11">
        <f>+ROUND(LN(D184/D185),6)</f>
        <v>2.4970000000000001E-3</v>
      </c>
      <c r="N184" s="11">
        <f>+ROUND(LN(E184/E185),6)</f>
        <v>4.5909999999999999E-2</v>
      </c>
      <c r="O184" s="11">
        <f>+ROUND(LN(F184/F185),6)</f>
        <v>2.3560999999999999E-2</v>
      </c>
      <c r="P184" s="11">
        <f>+ROUND(LN(G184/G185),6)</f>
        <v>1.4973999999999999E-2</v>
      </c>
      <c r="Q184" s="11">
        <f>+ROUND(LN(H184/H185),6)</f>
        <v>2.4272999999999999E-2</v>
      </c>
      <c r="R184" s="3"/>
      <c r="T184" s="5" t="s">
        <v>183</v>
      </c>
      <c r="U184" s="15">
        <f>+ROUND(B$3*EXP(K184),6)</f>
        <v>7.6832089999999997</v>
      </c>
      <c r="V184" s="15">
        <f>+ROUND(C$3*EXP(L184),6)</f>
        <v>9.8678729999999995</v>
      </c>
      <c r="W184" s="15">
        <f>+ROUND(D$3*EXP(M184),6)</f>
        <v>2.7769249999999999</v>
      </c>
      <c r="X184" s="15">
        <f>+ROUND(E$3*EXP(N184),6)</f>
        <v>1.204027</v>
      </c>
      <c r="Y184" s="15">
        <f>+ROUND(F$3*EXP(O184),6)</f>
        <v>5.0987270000000002</v>
      </c>
      <c r="Z184" s="15">
        <f>+ROUND(G$3*EXP(P184),6)</f>
        <v>4.3953249999999997</v>
      </c>
      <c r="AA184" s="15">
        <f>+ROUND(H$3*EXP(Q184),6)</f>
        <v>3.5040290000000001</v>
      </c>
      <c r="AB184" s="1">
        <v>182</v>
      </c>
      <c r="AC184" s="5" t="s">
        <v>183</v>
      </c>
      <c r="AD184" s="16">
        <f>+ROUND(Pozisyon!$U$4*('Data - Simülasyon- P&amp;L'!U184-'Data - Simülasyon- P&amp;L'!B$3),6)</f>
        <v>11982.096</v>
      </c>
      <c r="AE184" s="16">
        <f>+ROUND(Pozisyon!$U$5*('Data - Simülasyon- P&amp;L'!V184-'Data - Simülasyon- P&amp;L'!C$3),6)</f>
        <v>12946.825000000001</v>
      </c>
      <c r="AF184" s="16">
        <f>+ROUND(Pozisyon!$U$6*('Data - Simülasyon- P&amp;L'!W184-'Data - Simülasyon- P&amp;L'!D$3),6)</f>
        <v>129.84375</v>
      </c>
      <c r="AG184" s="16">
        <f>+ROUND(Pozisyon!$U$7*('Data - Simülasyon- P&amp;L'!X184-'Data - Simülasyon- P&amp;L'!E$3),6)</f>
        <v>19071.530999999999</v>
      </c>
      <c r="AH184" s="16">
        <f>+ROUND(Pozisyon!$U$8*('Data - Simülasyon- P&amp;L'!Y184-'Data - Simülasyon- P&amp;L'!F$3),6)</f>
        <v>25407.578000000001</v>
      </c>
      <c r="AI184" s="16">
        <f>+ROUND(Pozisyon!$U$9*('Data - Simülasyon- P&amp;L'!Z184-'Data - Simülasyon- P&amp;L'!G$3),6)</f>
        <v>19662.825000000001</v>
      </c>
      <c r="AJ184" s="16">
        <f>+ROUND(Pozisyon!$U$10*('Data - Simülasyon- P&amp;L'!AA184-'Data - Simülasyon- P&amp;L'!H$3),6)</f>
        <v>29494.179</v>
      </c>
      <c r="AK184" s="16">
        <f>+SUM(AD184:AJ184)</f>
        <v>118694.87775</v>
      </c>
      <c r="AL184" s="16">
        <f>+SMALL($AK$3:$AK$254,AB184)</f>
        <v>43199.2045</v>
      </c>
    </row>
    <row r="185" spans="1:38" ht="15" thickBot="1" x14ac:dyDescent="0.35">
      <c r="A185" s="5" t="s">
        <v>466</v>
      </c>
      <c r="B185" s="6">
        <v>8.2200000000000006</v>
      </c>
      <c r="C185" s="5">
        <v>9.93</v>
      </c>
      <c r="D185" s="6">
        <v>4</v>
      </c>
      <c r="E185" s="5">
        <v>1.49</v>
      </c>
      <c r="F185" s="5">
        <v>7.55</v>
      </c>
      <c r="G185" s="5">
        <v>4.6399999999999997</v>
      </c>
      <c r="H185" s="5">
        <v>4.07</v>
      </c>
      <c r="J185" s="5" t="s">
        <v>466</v>
      </c>
      <c r="K185" s="11">
        <f>+ROUND(LN(B185/B186),6)</f>
        <v>1.5941E-2</v>
      </c>
      <c r="L185" s="11">
        <f>+ROUND(LN(C185/C186),6)</f>
        <v>5.0480000000000004E-3</v>
      </c>
      <c r="M185" s="11">
        <f>+ROUND(LN(D185/D186),6)</f>
        <v>1.005E-2</v>
      </c>
      <c r="N185" s="11">
        <f>+ROUND(LN(E185/E186),6)</f>
        <v>2.7213000000000001E-2</v>
      </c>
      <c r="O185" s="11">
        <f>+ROUND(LN(F185/F186),6)</f>
        <v>2.653E-3</v>
      </c>
      <c r="P185" s="11">
        <f>+ROUND(LN(G185/G186),6)</f>
        <v>1.9587E-2</v>
      </c>
      <c r="Q185" s="11">
        <f>+ROUND(LN(H185/H186),6)</f>
        <v>2.4599999999999999E-3</v>
      </c>
      <c r="R185" s="3"/>
      <c r="T185" s="5" t="s">
        <v>184</v>
      </c>
      <c r="U185" s="15">
        <f>+ROUND(B$3*EXP(K185),6)</f>
        <v>7.7221219999999997</v>
      </c>
      <c r="V185" s="15">
        <f>+ROUND(C$3*EXP(L185),6)</f>
        <v>9.3973180000000003</v>
      </c>
      <c r="W185" s="15">
        <f>+ROUND(D$3*EXP(M185),6)</f>
        <v>2.7979790000000002</v>
      </c>
      <c r="X185" s="15">
        <f>+ROUND(E$3*EXP(N185),6)</f>
        <v>1.1817249999999999</v>
      </c>
      <c r="Y185" s="15">
        <f>+ROUND(F$3*EXP(O185),6)</f>
        <v>4.9932290000000004</v>
      </c>
      <c r="Z185" s="15">
        <f>+ROUND(G$3*EXP(P185),6)</f>
        <v>4.415648</v>
      </c>
      <c r="AA185" s="15">
        <f>+ROUND(H$3*EXP(Q185),6)</f>
        <v>3.4284240000000001</v>
      </c>
      <c r="AB185" s="1">
        <v>183</v>
      </c>
      <c r="AC185" s="5" t="s">
        <v>184</v>
      </c>
      <c r="AD185" s="16">
        <f>+ROUND(Pozisyon!$U$4*('Data - Simülasyon- P&amp;L'!U185-'Data - Simülasyon- P&amp;L'!B$3),6)</f>
        <v>17585.567999999999</v>
      </c>
      <c r="AE185" s="16">
        <f>+ROUND(Pozisyon!$U$5*('Data - Simülasyon- P&amp;L'!V185-'Data - Simülasyon- P&amp;L'!C$3),6)</f>
        <v>1182.95</v>
      </c>
      <c r="AF185" s="16">
        <f>+ROUND(Pozisyon!$U$6*('Data - Simülasyon- P&amp;L'!W185-'Data - Simülasyon- P&amp;L'!D$3),6)</f>
        <v>524.60625000000005</v>
      </c>
      <c r="AG185" s="16">
        <f>+ROUND(Pozisyon!$U$7*('Data - Simülasyon- P&amp;L'!X185-'Data - Simülasyon- P&amp;L'!E$3),6)</f>
        <v>11198.924999999999</v>
      </c>
      <c r="AH185" s="16">
        <f>+ROUND(Pozisyon!$U$8*('Data - Simülasyon- P&amp;L'!Y185-'Data - Simülasyon- P&amp;L'!F$3),6)</f>
        <v>2831.0059999999999</v>
      </c>
      <c r="AI185" s="16">
        <f>+ROUND(Pozisyon!$U$9*('Data - Simülasyon- P&amp;L'!Z185-'Data - Simülasyon- P&amp;L'!G$3),6)</f>
        <v>25780.047999999999</v>
      </c>
      <c r="AJ185" s="16">
        <f>+ROUND(Pozisyon!$U$10*('Data - Simülasyon- P&amp;L'!AA185-'Data - Simülasyon- P&amp;L'!H$3),6)</f>
        <v>2956.8240000000001</v>
      </c>
      <c r="AK185" s="16">
        <f>+SUM(AD185:AJ185)</f>
        <v>62059.927250000001</v>
      </c>
      <c r="AL185" s="16">
        <f>+SMALL($AK$3:$AK$254,AB185)</f>
        <v>45974.41</v>
      </c>
    </row>
    <row r="186" spans="1:38" ht="15" thickBot="1" x14ac:dyDescent="0.35">
      <c r="A186" s="5" t="s">
        <v>467</v>
      </c>
      <c r="B186" s="6">
        <v>8.09</v>
      </c>
      <c r="C186" s="5">
        <v>9.8800000000000008</v>
      </c>
      <c r="D186" s="6">
        <v>3.96</v>
      </c>
      <c r="E186" s="5">
        <v>1.45</v>
      </c>
      <c r="F186" s="5">
        <v>7.53</v>
      </c>
      <c r="G186" s="5">
        <v>4.55</v>
      </c>
      <c r="H186" s="5">
        <v>4.0599999999999996</v>
      </c>
      <c r="J186" s="5" t="s">
        <v>467</v>
      </c>
      <c r="K186" s="11">
        <f>+ROUND(LN(B186/B187),6)</f>
        <v>-6.1609999999999998E-3</v>
      </c>
      <c r="L186" s="11">
        <f>+ROUND(LN(C186/C187),6)</f>
        <v>-6.0549999999999996E-3</v>
      </c>
      <c r="M186" s="11">
        <f>+ROUND(LN(D186/D187),6)</f>
        <v>-1.7521999999999999E-2</v>
      </c>
      <c r="N186" s="11">
        <f>+ROUND(LN(E186/E187),6)</f>
        <v>1.3889E-2</v>
      </c>
      <c r="O186" s="11">
        <f>+ROUND(LN(F186/F187),6)</f>
        <v>-2.1026E-2</v>
      </c>
      <c r="P186" s="11">
        <f>+ROUND(LN(G186/G187),6)</f>
        <v>-8.7530000000000004E-3</v>
      </c>
      <c r="Q186" s="11">
        <f>+ROUND(LN(H186/H187),6)</f>
        <v>-2.4599999999999999E-3</v>
      </c>
      <c r="R186" s="3"/>
      <c r="T186" s="5" t="s">
        <v>185</v>
      </c>
      <c r="U186" s="15">
        <f>+ROUND(B$3*EXP(K186),6)</f>
        <v>7.5533200000000003</v>
      </c>
      <c r="V186" s="15">
        <f>+ROUND(C$3*EXP(L186),6)</f>
        <v>9.2935569999999998</v>
      </c>
      <c r="W186" s="15">
        <f>+ROUND(D$3*EXP(M186),6)</f>
        <v>2.7218870000000002</v>
      </c>
      <c r="X186" s="15">
        <f>+ROUND(E$3*EXP(N186),6)</f>
        <v>1.1660839999999999</v>
      </c>
      <c r="Y186" s="15">
        <f>+ROUND(F$3*EXP(O186),6)</f>
        <v>4.8763839999999998</v>
      </c>
      <c r="Z186" s="15">
        <f>+ROUND(G$3*EXP(P186),6)</f>
        <v>4.2922650000000004</v>
      </c>
      <c r="AA186" s="15">
        <f>+ROUND(H$3*EXP(Q186),6)</f>
        <v>3.411597</v>
      </c>
      <c r="AB186" s="1">
        <v>184</v>
      </c>
      <c r="AC186" s="5" t="s">
        <v>185</v>
      </c>
      <c r="AD186" s="16">
        <f>+ROUND(Pozisyon!$U$4*('Data - Simülasyon- P&amp;L'!U186-'Data - Simülasyon- P&amp;L'!B$3),6)</f>
        <v>-6721.92</v>
      </c>
      <c r="AE186" s="16">
        <f>+ROUND(Pozisyon!$U$5*('Data - Simülasyon- P&amp;L'!V186-'Data - Simülasyon- P&amp;L'!C$3),6)</f>
        <v>-1411.075</v>
      </c>
      <c r="AF186" s="16">
        <f>+ROUND(Pozisyon!$U$6*('Data - Simülasyon- P&amp;L'!W186-'Data - Simülasyon- P&amp;L'!D$3),6)</f>
        <v>-902.11874999999998</v>
      </c>
      <c r="AG186" s="16">
        <f>+ROUND(Pozisyon!$U$7*('Data - Simülasyon- P&amp;L'!X186-'Data - Simülasyon- P&amp;L'!E$3),6)</f>
        <v>5677.652</v>
      </c>
      <c r="AH186" s="16">
        <f>+ROUND(Pozisyon!$U$8*('Data - Simülasyon- P&amp;L'!Y186-'Data - Simülasyon- P&amp;L'!F$3),6)</f>
        <v>-22173.824000000001</v>
      </c>
      <c r="AI186" s="16">
        <f>+ROUND(Pozisyon!$U$9*('Data - Simülasyon- P&amp;L'!Z186-'Data - Simülasyon- P&amp;L'!G$3),6)</f>
        <v>-11358.235000000001</v>
      </c>
      <c r="AJ186" s="16">
        <f>+ROUND(Pozisyon!$U$10*('Data - Simülasyon- P&amp;L'!AA186-'Data - Simülasyon- P&amp;L'!H$3),6)</f>
        <v>-2949.453</v>
      </c>
      <c r="AK186" s="16">
        <f>+SUM(AD186:AJ186)</f>
        <v>-39838.973750000005</v>
      </c>
      <c r="AL186" s="16">
        <f>+SMALL($AK$3:$AK$254,AB186)</f>
        <v>46722.290999999997</v>
      </c>
    </row>
    <row r="187" spans="1:38" ht="15" thickBot="1" x14ac:dyDescent="0.35">
      <c r="A187" s="5" t="s">
        <v>468</v>
      </c>
      <c r="B187" s="6">
        <v>8.14</v>
      </c>
      <c r="C187" s="5">
        <v>9.94</v>
      </c>
      <c r="D187" s="6">
        <v>4.03</v>
      </c>
      <c r="E187" s="5">
        <v>1.43</v>
      </c>
      <c r="F187" s="5">
        <v>7.69</v>
      </c>
      <c r="G187" s="5">
        <v>4.59</v>
      </c>
      <c r="H187" s="5">
        <v>4.07</v>
      </c>
      <c r="J187" s="5" t="s">
        <v>468</v>
      </c>
      <c r="K187" s="11">
        <f>+ROUND(LN(B187/B188),6)</f>
        <v>-1.221E-2</v>
      </c>
      <c r="L187" s="11">
        <f>+ROUND(LN(C187/C188),6)</f>
        <v>-1.3986E-2</v>
      </c>
      <c r="M187" s="11">
        <f>+ROUND(LN(D187/D188),6)</f>
        <v>-9.8770000000000004E-3</v>
      </c>
      <c r="N187" s="11">
        <f>+ROUND(LN(E187/E188),6)</f>
        <v>7.0179999999999999E-3</v>
      </c>
      <c r="O187" s="11">
        <f>+ROUND(LN(F187/F188),6)</f>
        <v>-1.4203E-2</v>
      </c>
      <c r="P187" s="11">
        <f>+ROUND(LN(G187/G188),6)</f>
        <v>-2.1552999999999999E-2</v>
      </c>
      <c r="Q187" s="11">
        <f>+ROUND(LN(H187/H188),6)</f>
        <v>-7.3439999999999998E-3</v>
      </c>
      <c r="R187" s="3"/>
      <c r="T187" s="5" t="s">
        <v>186</v>
      </c>
      <c r="U187" s="15">
        <f>+ROUND(B$3*EXP(K187),6)</f>
        <v>7.5077680000000004</v>
      </c>
      <c r="V187" s="15">
        <f>+ROUND(C$3*EXP(L187),6)</f>
        <v>9.2201409999999999</v>
      </c>
      <c r="W187" s="15">
        <f>+ROUND(D$3*EXP(M187),6)</f>
        <v>2.742775</v>
      </c>
      <c r="X187" s="15">
        <f>+ROUND(E$3*EXP(N187),6)</f>
        <v>1.158099</v>
      </c>
      <c r="Y187" s="15">
        <f>+ROUND(F$3*EXP(O187),6)</f>
        <v>4.9097689999999998</v>
      </c>
      <c r="Z187" s="15">
        <f>+ROUND(G$3*EXP(P187),6)</f>
        <v>4.2376740000000002</v>
      </c>
      <c r="AA187" s="15">
        <f>+ROUND(H$3*EXP(Q187),6)</f>
        <v>3.3949760000000002</v>
      </c>
      <c r="AB187" s="1">
        <v>185</v>
      </c>
      <c r="AC187" s="5" t="s">
        <v>186</v>
      </c>
      <c r="AD187" s="16">
        <f>+ROUND(Pozisyon!$U$4*('Data - Simülasyon- P&amp;L'!U187-'Data - Simülasyon- P&amp;L'!B$3),6)</f>
        <v>-13281.407999999999</v>
      </c>
      <c r="AE187" s="16">
        <f>+ROUND(Pozisyon!$U$5*('Data - Simülasyon- P&amp;L'!V187-'Data - Simülasyon- P&amp;L'!C$3),6)</f>
        <v>-3246.4749999999999</v>
      </c>
      <c r="AF187" s="16">
        <f>+ROUND(Pozisyon!$U$6*('Data - Simülasyon- P&amp;L'!W187-'Data - Simülasyon- P&amp;L'!D$3),6)</f>
        <v>-510.46875</v>
      </c>
      <c r="AG187" s="16">
        <f>+ROUND(Pozisyon!$U$7*('Data - Simülasyon- P&amp;L'!X187-'Data - Simülasyon- P&amp;L'!E$3),6)</f>
        <v>2858.9470000000001</v>
      </c>
      <c r="AH187" s="16">
        <f>+ROUND(Pozisyon!$U$8*('Data - Simülasyon- P&amp;L'!Y187-'Data - Simülasyon- P&amp;L'!F$3),6)</f>
        <v>-15029.433999999999</v>
      </c>
      <c r="AI187" s="16">
        <f>+ROUND(Pozisyon!$U$9*('Data - Simülasyon- P&amp;L'!Z187-'Data - Simülasyon- P&amp;L'!G$3),6)</f>
        <v>-27790.126</v>
      </c>
      <c r="AJ187" s="16">
        <f>+ROUND(Pozisyon!$U$10*('Data - Simülasyon- P&amp;L'!AA187-'Data - Simülasyon- P&amp;L'!H$3),6)</f>
        <v>-8783.4240000000009</v>
      </c>
      <c r="AK187" s="16">
        <f>+SUM(AD187:AJ187)</f>
        <v>-65782.388749999998</v>
      </c>
      <c r="AL187" s="16">
        <f>+SMALL($AK$3:$AK$254,AB187)</f>
        <v>47538.171000000002</v>
      </c>
    </row>
    <row r="188" spans="1:38" ht="15" thickBot="1" x14ac:dyDescent="0.35">
      <c r="A188" s="5" t="s">
        <v>469</v>
      </c>
      <c r="B188" s="6">
        <v>8.24</v>
      </c>
      <c r="C188" s="5">
        <v>10.08</v>
      </c>
      <c r="D188" s="6">
        <v>4.07</v>
      </c>
      <c r="E188" s="5">
        <v>1.42</v>
      </c>
      <c r="F188" s="5">
        <v>7.8</v>
      </c>
      <c r="G188" s="5">
        <v>4.6900000000000004</v>
      </c>
      <c r="H188" s="5">
        <v>4.0999999999999996</v>
      </c>
      <c r="J188" s="5" t="s">
        <v>469</v>
      </c>
      <c r="K188" s="11">
        <f>+ROUND(LN(B188/B189),6)</f>
        <v>2.3328000000000002E-2</v>
      </c>
      <c r="L188" s="11">
        <f>+ROUND(LN(C188/C189),6)</f>
        <v>-1.1834000000000001E-2</v>
      </c>
      <c r="M188" s="11">
        <f>+ROUND(LN(D188/D189),6)</f>
        <v>-7.3439999999999998E-3</v>
      </c>
      <c r="N188" s="11">
        <f>+ROUND(LN(E188/E189),6)</f>
        <v>0</v>
      </c>
      <c r="O188" s="11">
        <f>+ROUND(LN(F188/F189),6)</f>
        <v>9.0150000000000004E-3</v>
      </c>
      <c r="P188" s="11">
        <f>+ROUND(LN(G188/G189),6)</f>
        <v>0</v>
      </c>
      <c r="Q188" s="11">
        <f>+ROUND(LN(H188/H189),6)</f>
        <v>2.4420000000000002E-3</v>
      </c>
      <c r="R188" s="3"/>
      <c r="T188" s="5" t="s">
        <v>187</v>
      </c>
      <c r="U188" s="15">
        <f>+ROUND(B$3*EXP(K188),6)</f>
        <v>7.7793770000000002</v>
      </c>
      <c r="V188" s="15">
        <f>+ROUND(C$3*EXP(L188),6)</f>
        <v>9.2400040000000008</v>
      </c>
      <c r="W188" s="15">
        <f>+ROUND(D$3*EXP(M188),6)</f>
        <v>2.7497319999999998</v>
      </c>
      <c r="X188" s="15">
        <f>+ROUND(E$3*EXP(N188),6)</f>
        <v>1.1499999999999999</v>
      </c>
      <c r="Y188" s="15">
        <f>+ROUND(F$3*EXP(O188),6)</f>
        <v>5.0250979999999998</v>
      </c>
      <c r="Z188" s="15">
        <f>+ROUND(G$3*EXP(P188),6)</f>
        <v>4.33</v>
      </c>
      <c r="AA188" s="15">
        <f>+ROUND(H$3*EXP(Q188),6)</f>
        <v>3.4283619999999999</v>
      </c>
      <c r="AB188" s="1">
        <v>186</v>
      </c>
      <c r="AC188" s="5" t="s">
        <v>187</v>
      </c>
      <c r="AD188" s="16">
        <f>+ROUND(Pozisyon!$U$4*('Data - Simülasyon- P&amp;L'!U188-'Data - Simülasyon- P&amp;L'!B$3),6)</f>
        <v>25830.288</v>
      </c>
      <c r="AE188" s="16">
        <f>+ROUND(Pozisyon!$U$5*('Data - Simülasyon- P&amp;L'!V188-'Data - Simülasyon- P&amp;L'!C$3),6)</f>
        <v>-2749.9</v>
      </c>
      <c r="AF188" s="16">
        <f>+ROUND(Pozisyon!$U$6*('Data - Simülasyon- P&amp;L'!W188-'Data - Simülasyon- P&amp;L'!D$3),6)</f>
        <v>-380.02499999999998</v>
      </c>
      <c r="AG188" s="16">
        <f>+ROUND(Pozisyon!$U$7*('Data - Simülasyon- P&amp;L'!X188-'Data - Simülasyon- P&amp;L'!E$3),6)</f>
        <v>0</v>
      </c>
      <c r="AH188" s="16">
        <f>+ROUND(Pozisyon!$U$8*('Data - Simülasyon- P&amp;L'!Y188-'Data - Simülasyon- P&amp;L'!F$3),6)</f>
        <v>9650.9719999999998</v>
      </c>
      <c r="AI188" s="16">
        <f>+ROUND(Pozisyon!$U$9*('Data - Simülasyon- P&amp;L'!Z188-'Data - Simülasyon- P&amp;L'!G$3),6)</f>
        <v>0</v>
      </c>
      <c r="AJ188" s="16">
        <f>+ROUND(Pozisyon!$U$10*('Data - Simülasyon- P&amp;L'!AA188-'Data - Simülasyon- P&amp;L'!H$3),6)</f>
        <v>2935.0619999999999</v>
      </c>
      <c r="AK188" s="16">
        <f>+SUM(AD188:AJ188)</f>
        <v>35286.396999999997</v>
      </c>
      <c r="AL188" s="16">
        <f>+SMALL($AK$3:$AK$254,AB188)</f>
        <v>47667.441749999998</v>
      </c>
    </row>
    <row r="189" spans="1:38" ht="15" thickBot="1" x14ac:dyDescent="0.35">
      <c r="A189" s="5" t="s">
        <v>470</v>
      </c>
      <c r="B189" s="6">
        <v>8.0500000000000007</v>
      </c>
      <c r="C189" s="5">
        <v>10.199999999999999</v>
      </c>
      <c r="D189" s="6">
        <v>4.0999999999999996</v>
      </c>
      <c r="E189" s="5">
        <v>1.42</v>
      </c>
      <c r="F189" s="5">
        <v>7.73</v>
      </c>
      <c r="G189" s="5">
        <v>4.6900000000000004</v>
      </c>
      <c r="H189" s="5">
        <v>4.09</v>
      </c>
      <c r="J189" s="5" t="s">
        <v>470</v>
      </c>
      <c r="K189" s="11">
        <f>+ROUND(LN(B189/B190),6)</f>
        <v>0</v>
      </c>
      <c r="L189" s="11">
        <f>+ROUND(LN(C189/C190),6)</f>
        <v>0</v>
      </c>
      <c r="M189" s="11">
        <f>+ROUND(LN(D189/D190),6)</f>
        <v>0</v>
      </c>
      <c r="N189" s="11">
        <f>+ROUND(LN(E189/E190),6)</f>
        <v>0</v>
      </c>
      <c r="O189" s="11">
        <f>+ROUND(LN(F189/F190),6)</f>
        <v>0</v>
      </c>
      <c r="P189" s="11">
        <f>+ROUND(LN(G189/G190),6)</f>
        <v>0</v>
      </c>
      <c r="Q189" s="11">
        <f>+ROUND(LN(H189/H190),6)</f>
        <v>0</v>
      </c>
      <c r="R189" s="3"/>
      <c r="T189" s="5" t="s">
        <v>188</v>
      </c>
      <c r="U189" s="15">
        <f>+ROUND(B$3*EXP(K189),6)</f>
        <v>7.6</v>
      </c>
      <c r="V189" s="15">
        <f>+ROUND(C$3*EXP(L189),6)</f>
        <v>9.35</v>
      </c>
      <c r="W189" s="15">
        <f>+ROUND(D$3*EXP(M189),6)</f>
        <v>2.77</v>
      </c>
      <c r="X189" s="15">
        <f>+ROUND(E$3*EXP(N189),6)</f>
        <v>1.1499999999999999</v>
      </c>
      <c r="Y189" s="15">
        <f>+ROUND(F$3*EXP(O189),6)</f>
        <v>4.9800000000000004</v>
      </c>
      <c r="Z189" s="15">
        <f>+ROUND(G$3*EXP(P189),6)</f>
        <v>4.33</v>
      </c>
      <c r="AA189" s="15">
        <f>+ROUND(H$3*EXP(Q189),6)</f>
        <v>3.42</v>
      </c>
      <c r="AB189" s="1">
        <v>187</v>
      </c>
      <c r="AC189" s="5" t="s">
        <v>188</v>
      </c>
      <c r="AD189" s="16">
        <f>+ROUND(Pozisyon!$U$4*('Data - Simülasyon- P&amp;L'!U189-'Data - Simülasyon- P&amp;L'!B$3),6)</f>
        <v>0</v>
      </c>
      <c r="AE189" s="16">
        <f>+ROUND(Pozisyon!$U$5*('Data - Simülasyon- P&amp;L'!V189-'Data - Simülasyon- P&amp;L'!C$3),6)</f>
        <v>0</v>
      </c>
      <c r="AF189" s="16">
        <f>+ROUND(Pozisyon!$U$6*('Data - Simülasyon- P&amp;L'!W189-'Data - Simülasyon- P&amp;L'!D$3),6)</f>
        <v>0</v>
      </c>
      <c r="AG189" s="16">
        <f>+ROUND(Pozisyon!$U$7*('Data - Simülasyon- P&amp;L'!X189-'Data - Simülasyon- P&amp;L'!E$3),6)</f>
        <v>0</v>
      </c>
      <c r="AH189" s="16">
        <f>+ROUND(Pozisyon!$U$8*('Data - Simülasyon- P&amp;L'!Y189-'Data - Simülasyon- P&amp;L'!F$3),6)</f>
        <v>0</v>
      </c>
      <c r="AI189" s="16">
        <f>+ROUND(Pozisyon!$U$9*('Data - Simülasyon- P&amp;L'!Z189-'Data - Simülasyon- P&amp;L'!G$3),6)</f>
        <v>0</v>
      </c>
      <c r="AJ189" s="16">
        <f>+ROUND(Pozisyon!$U$10*('Data - Simülasyon- P&amp;L'!AA189-'Data - Simülasyon- P&amp;L'!H$3),6)</f>
        <v>0</v>
      </c>
      <c r="AK189" s="16">
        <f>+SUM(AD189:AJ189)</f>
        <v>0</v>
      </c>
      <c r="AL189" s="16">
        <f>+SMALL($AK$3:$AK$254,AB189)</f>
        <v>48677.315749999994</v>
      </c>
    </row>
    <row r="190" spans="1:38" ht="15" thickBot="1" x14ac:dyDescent="0.35">
      <c r="A190" s="5" t="s">
        <v>471</v>
      </c>
      <c r="B190" s="6">
        <v>8.0500000000000007</v>
      </c>
      <c r="C190" s="5">
        <v>10.199999999999999</v>
      </c>
      <c r="D190" s="6">
        <v>4.0999999999999996</v>
      </c>
      <c r="E190" s="5">
        <v>1.42</v>
      </c>
      <c r="F190" s="5">
        <v>7.73</v>
      </c>
      <c r="G190" s="5">
        <v>4.6900000000000004</v>
      </c>
      <c r="H190" s="5">
        <v>4.09</v>
      </c>
      <c r="J190" s="5" t="s">
        <v>471</v>
      </c>
      <c r="K190" s="11">
        <f>+ROUND(LN(B190/B191),6)</f>
        <v>-2.5752000000000001E-2</v>
      </c>
      <c r="L190" s="11">
        <f>+ROUND(LN(C190/C191),6)</f>
        <v>-2.8988E-2</v>
      </c>
      <c r="M190" s="11">
        <f>+ROUND(LN(D190/D191),6)</f>
        <v>1.9705E-2</v>
      </c>
      <c r="N190" s="11">
        <f>+ROUND(LN(E190/E191),6)</f>
        <v>-2.0906999999999999E-2</v>
      </c>
      <c r="O190" s="11">
        <f>+ROUND(LN(F190/F191),6)</f>
        <v>-1.1575999999999999E-2</v>
      </c>
      <c r="P190" s="11">
        <f>+ROUND(LN(G190/G191),6)</f>
        <v>-6.3759999999999997E-3</v>
      </c>
      <c r="Q190" s="11">
        <f>+ROUND(LN(H190/H191),6)</f>
        <v>-2.4156E-2</v>
      </c>
      <c r="R190" s="3"/>
      <c r="T190" s="5" t="s">
        <v>189</v>
      </c>
      <c r="U190" s="15">
        <f>+ROUND(B$3*EXP(K190),6)</f>
        <v>7.4067829999999999</v>
      </c>
      <c r="V190" s="15">
        <f>+ROUND(C$3*EXP(L190),6)</f>
        <v>9.0828530000000001</v>
      </c>
      <c r="W190" s="15">
        <f>+ROUND(D$3*EXP(M190),6)</f>
        <v>2.8251240000000002</v>
      </c>
      <c r="X190" s="15">
        <f>+ROUND(E$3*EXP(N190),6)</f>
        <v>1.126207</v>
      </c>
      <c r="Y190" s="15">
        <f>+ROUND(F$3*EXP(O190),6)</f>
        <v>4.9226840000000003</v>
      </c>
      <c r="Z190" s="15">
        <f>+ROUND(G$3*EXP(P190),6)</f>
        <v>4.3024800000000001</v>
      </c>
      <c r="AA190" s="15">
        <f>+ROUND(H$3*EXP(Q190),6)</f>
        <v>3.3383759999999998</v>
      </c>
      <c r="AB190" s="1">
        <v>188</v>
      </c>
      <c r="AC190" s="5" t="s">
        <v>189</v>
      </c>
      <c r="AD190" s="16">
        <f>+ROUND(Pozisyon!$U$4*('Data - Simülasyon- P&amp;L'!U190-'Data - Simülasyon- P&amp;L'!B$3),6)</f>
        <v>-27823.248</v>
      </c>
      <c r="AE190" s="16">
        <f>+ROUND(Pozisyon!$U$5*('Data - Simülasyon- P&amp;L'!V190-'Data - Simülasyon- P&amp;L'!C$3),6)</f>
        <v>-6678.6750000000002</v>
      </c>
      <c r="AF190" s="16">
        <f>+ROUND(Pozisyon!$U$6*('Data - Simülasyon- P&amp;L'!W190-'Data - Simülasyon- P&amp;L'!D$3),6)</f>
        <v>1033.575</v>
      </c>
      <c r="AG190" s="16">
        <f>+ROUND(Pozisyon!$U$7*('Data - Simülasyon- P&amp;L'!X190-'Data - Simülasyon- P&amp;L'!E$3),6)</f>
        <v>-8398.9290000000001</v>
      </c>
      <c r="AH190" s="16">
        <f>+ROUND(Pozisyon!$U$8*('Data - Simülasyon- P&amp;L'!Y190-'Data - Simülasyon- P&amp;L'!F$3),6)</f>
        <v>-12265.624</v>
      </c>
      <c r="AI190" s="16">
        <f>+ROUND(Pozisyon!$U$9*('Data - Simülasyon- P&amp;L'!Z190-'Data - Simülasyon- P&amp;L'!G$3),6)</f>
        <v>-8283.52</v>
      </c>
      <c r="AJ190" s="16">
        <f>+ROUND(Pozisyon!$U$10*('Data - Simülasyon- P&amp;L'!AA190-'Data - Simülasyon- P&amp;L'!H$3),6)</f>
        <v>-28650.024000000001</v>
      </c>
      <c r="AK190" s="16">
        <f>+SUM(AD190:AJ190)</f>
        <v>-91066.445000000007</v>
      </c>
      <c r="AL190" s="16">
        <f>+SMALL($AK$3:$AK$254,AB190)</f>
        <v>51039.014000000003</v>
      </c>
    </row>
    <row r="191" spans="1:38" ht="15" thickBot="1" x14ac:dyDescent="0.35">
      <c r="A191" s="5" t="s">
        <v>472</v>
      </c>
      <c r="B191" s="6">
        <v>8.26</v>
      </c>
      <c r="C191" s="5">
        <v>10.5</v>
      </c>
      <c r="D191" s="6">
        <v>4.0199999999999996</v>
      </c>
      <c r="E191" s="5">
        <v>1.45</v>
      </c>
      <c r="F191" s="5">
        <v>7.82</v>
      </c>
      <c r="G191" s="5">
        <v>4.72</v>
      </c>
      <c r="H191" s="5">
        <v>4.1900000000000004</v>
      </c>
      <c r="J191" s="5" t="s">
        <v>472</v>
      </c>
      <c r="K191" s="11">
        <f>+ROUND(LN(B191/B192),6)</f>
        <v>2.2033000000000001E-2</v>
      </c>
      <c r="L191" s="11">
        <f>+ROUND(LN(C191/C192),6)</f>
        <v>1.2458E-2</v>
      </c>
      <c r="M191" s="11">
        <f>+ROUND(LN(D191/D192),6)</f>
        <v>-6.9655999999999996E-2</v>
      </c>
      <c r="N191" s="11">
        <f>+ROUND(LN(E191/E192),6)</f>
        <v>1.3889E-2</v>
      </c>
      <c r="O191" s="11">
        <f>+ROUND(LN(F191/F192),6)</f>
        <v>3.8440000000000002E-3</v>
      </c>
      <c r="P191" s="11">
        <f>+ROUND(LN(G191/G192),6)</f>
        <v>1.7094000000000002E-2</v>
      </c>
      <c r="Q191" s="11">
        <f>+ROUND(LN(H191/H192),6)</f>
        <v>1.4423E-2</v>
      </c>
      <c r="R191" s="3"/>
      <c r="T191" s="5" t="s">
        <v>190</v>
      </c>
      <c r="U191" s="15">
        <f>+ROUND(B$3*EXP(K191),6)</f>
        <v>7.7693089999999998</v>
      </c>
      <c r="V191" s="15">
        <f>+ROUND(C$3*EXP(L191),6)</f>
        <v>9.4672110000000007</v>
      </c>
      <c r="W191" s="15">
        <f>+ROUND(D$3*EXP(M191),6)</f>
        <v>2.5836190000000001</v>
      </c>
      <c r="X191" s="15">
        <f>+ROUND(E$3*EXP(N191),6)</f>
        <v>1.1660839999999999</v>
      </c>
      <c r="Y191" s="15">
        <f>+ROUND(F$3*EXP(O191),6)</f>
        <v>4.99918</v>
      </c>
      <c r="Z191" s="15">
        <f>+ROUND(G$3*EXP(P191),6)</f>
        <v>4.4046529999999997</v>
      </c>
      <c r="AA191" s="15">
        <f>+ROUND(H$3*EXP(Q191),6)</f>
        <v>3.469684</v>
      </c>
      <c r="AB191" s="1">
        <v>189</v>
      </c>
      <c r="AC191" s="5" t="s">
        <v>190</v>
      </c>
      <c r="AD191" s="16">
        <f>+ROUND(Pozisyon!$U$4*('Data - Simülasyon- P&amp;L'!U191-'Data - Simülasyon- P&amp;L'!B$3),6)</f>
        <v>24380.495999999999</v>
      </c>
      <c r="AE191" s="16">
        <f>+ROUND(Pozisyon!$U$5*('Data - Simülasyon- P&amp;L'!V191-'Data - Simülasyon- P&amp;L'!C$3),6)</f>
        <v>2930.2750000000001</v>
      </c>
      <c r="AF191" s="16">
        <f>+ROUND(Pozisyon!$U$6*('Data - Simülasyon- P&amp;L'!W191-'Data - Simülasyon- P&amp;L'!D$3),6)</f>
        <v>-3494.6437500000002</v>
      </c>
      <c r="AG191" s="16">
        <f>+ROUND(Pozisyon!$U$7*('Data - Simülasyon- P&amp;L'!X191-'Data - Simülasyon- P&amp;L'!E$3),6)</f>
        <v>5677.652</v>
      </c>
      <c r="AH191" s="16">
        <f>+ROUND(Pozisyon!$U$8*('Data - Simülasyon- P&amp;L'!Y191-'Data - Simülasyon- P&amp;L'!F$3),6)</f>
        <v>4104.5200000000004</v>
      </c>
      <c r="AI191" s="16">
        <f>+ROUND(Pozisyon!$U$9*('Data - Simülasyon- P&amp;L'!Z191-'Data - Simülasyon- P&amp;L'!G$3),6)</f>
        <v>22470.553</v>
      </c>
      <c r="AJ191" s="16">
        <f>+ROUND(Pozisyon!$U$10*('Data - Simülasyon- P&amp;L'!AA191-'Data - Simülasyon- P&amp;L'!H$3),6)</f>
        <v>17439.083999999999</v>
      </c>
      <c r="AK191" s="16">
        <f>+SUM(AD191:AJ191)</f>
        <v>73507.936249999999</v>
      </c>
      <c r="AL191" s="16">
        <f>+SMALL($AK$3:$AK$254,AB191)</f>
        <v>52895.184499999996</v>
      </c>
    </row>
    <row r="192" spans="1:38" ht="15" thickBot="1" x14ac:dyDescent="0.35">
      <c r="A192" s="5" t="s">
        <v>473</v>
      </c>
      <c r="B192" s="6">
        <v>8.08</v>
      </c>
      <c r="C192" s="5">
        <v>10.37</v>
      </c>
      <c r="D192" s="6">
        <v>4.3099999999999996</v>
      </c>
      <c r="E192" s="5">
        <v>1.43</v>
      </c>
      <c r="F192" s="5">
        <v>7.79</v>
      </c>
      <c r="G192" s="5">
        <v>4.6399999999999997</v>
      </c>
      <c r="H192" s="5">
        <v>4.13</v>
      </c>
      <c r="J192" s="5" t="s">
        <v>473</v>
      </c>
      <c r="K192" s="11">
        <f>+ROUND(LN(B192/B193),6)</f>
        <v>1.8738999999999999E-2</v>
      </c>
      <c r="L192" s="11">
        <f>+ROUND(LN(C192/C193),6)</f>
        <v>1.3592E-2</v>
      </c>
      <c r="M192" s="11">
        <f>+ROUND(LN(D192/D193),6)</f>
        <v>7.4644000000000002E-2</v>
      </c>
      <c r="N192" s="11">
        <f>+ROUND(LN(E192/E193),6)</f>
        <v>2.1201999999999999E-2</v>
      </c>
      <c r="O192" s="11">
        <f>+ROUND(LN(F192/F193),6)</f>
        <v>1.6829E-2</v>
      </c>
      <c r="P192" s="11">
        <f>+ROUND(LN(G192/G193),6)</f>
        <v>3.7325999999999998E-2</v>
      </c>
      <c r="Q192" s="11">
        <f>+ROUND(LN(H192/H193),6)</f>
        <v>4.7097E-2</v>
      </c>
      <c r="R192" s="3"/>
      <c r="T192" s="5" t="s">
        <v>191</v>
      </c>
      <c r="U192" s="15">
        <f>+ROUND(B$3*EXP(K192),6)</f>
        <v>7.7437589999999998</v>
      </c>
      <c r="V192" s="15">
        <f>+ROUND(C$3*EXP(L192),6)</f>
        <v>9.4779529999999994</v>
      </c>
      <c r="W192" s="15">
        <f>+ROUND(D$3*EXP(M192),6)</f>
        <v>2.9846759999999999</v>
      </c>
      <c r="X192" s="15">
        <f>+ROUND(E$3*EXP(N192),6)</f>
        <v>1.1746430000000001</v>
      </c>
      <c r="Y192" s="15">
        <f>+ROUND(F$3*EXP(O192),6)</f>
        <v>5.0645179999999996</v>
      </c>
      <c r="Z192" s="15">
        <f>+ROUND(G$3*EXP(P192),6)</f>
        <v>4.4946760000000001</v>
      </c>
      <c r="AA192" s="15">
        <f>+ROUND(H$3*EXP(Q192),6)</f>
        <v>3.5849250000000001</v>
      </c>
      <c r="AB192" s="1">
        <v>190</v>
      </c>
      <c r="AC192" s="5" t="s">
        <v>191</v>
      </c>
      <c r="AD192" s="16">
        <f>+ROUND(Pozisyon!$U$4*('Data - Simülasyon- P&amp;L'!U192-'Data - Simülasyon- P&amp;L'!B$3),6)</f>
        <v>20701.295999999998</v>
      </c>
      <c r="AE192" s="16">
        <f>+ROUND(Pozisyon!$U$5*('Data - Simülasyon- P&amp;L'!V192-'Data - Simülasyon- P&amp;L'!C$3),6)</f>
        <v>3198.8249999999998</v>
      </c>
      <c r="AF192" s="16">
        <f>+ROUND(Pozisyon!$U$6*('Data - Simülasyon- P&amp;L'!W192-'Data - Simülasyon- P&amp;L'!D$3),6)</f>
        <v>4025.1750000000002</v>
      </c>
      <c r="AG192" s="16">
        <f>+ROUND(Pozisyon!$U$7*('Data - Simülasyon- P&amp;L'!X192-'Data - Simülasyon- P&amp;L'!E$3),6)</f>
        <v>8698.9789999999994</v>
      </c>
      <c r="AH192" s="16">
        <f>+ROUND(Pozisyon!$U$8*('Data - Simülasyon- P&amp;L'!Y192-'Data - Simülasyon- P&amp;L'!F$3),6)</f>
        <v>18086.851999999999</v>
      </c>
      <c r="AI192" s="16">
        <f>+ROUND(Pozisyon!$U$9*('Data - Simülasyon- P&amp;L'!Z192-'Data - Simülasyon- P&amp;L'!G$3),6)</f>
        <v>49567.476000000002</v>
      </c>
      <c r="AJ192" s="16">
        <f>+ROUND(Pozisyon!$U$10*('Data - Simülasyon- P&amp;L'!AA192-'Data - Simülasyon- P&amp;L'!H$3),6)</f>
        <v>57888.675000000003</v>
      </c>
      <c r="AK192" s="16">
        <f>+SUM(AD192:AJ192)</f>
        <v>162167.27799999999</v>
      </c>
      <c r="AL192" s="16">
        <f>+SMALL($AK$3:$AK$254,AB192)</f>
        <v>52967.547000000006</v>
      </c>
    </row>
    <row r="193" spans="1:38" ht="15" thickBot="1" x14ac:dyDescent="0.35">
      <c r="A193" s="5" t="s">
        <v>474</v>
      </c>
      <c r="B193" s="6">
        <v>7.93</v>
      </c>
      <c r="C193" s="5">
        <v>10.23</v>
      </c>
      <c r="D193" s="6">
        <v>4</v>
      </c>
      <c r="E193" s="5">
        <v>1.4</v>
      </c>
      <c r="F193" s="5">
        <v>7.66</v>
      </c>
      <c r="G193" s="5">
        <v>4.47</v>
      </c>
      <c r="H193" s="5">
        <v>3.94</v>
      </c>
      <c r="J193" s="5" t="s">
        <v>474</v>
      </c>
      <c r="K193" s="11">
        <f>+ROUND(LN(B193/B194),6)</f>
        <v>-1.2600000000000001E-3</v>
      </c>
      <c r="L193" s="11">
        <f>+ROUND(LN(C193/C194),6)</f>
        <v>0</v>
      </c>
      <c r="M193" s="11">
        <f>+ROUND(LN(D193/D194),6)</f>
        <v>0</v>
      </c>
      <c r="N193" s="11">
        <f>+ROUND(LN(E193/E194),6)</f>
        <v>0</v>
      </c>
      <c r="O193" s="11">
        <f>+ROUND(LN(F193/F194),6)</f>
        <v>3.9240000000000004E-3</v>
      </c>
      <c r="P193" s="11">
        <f>+ROUND(LN(G193/G194),6)</f>
        <v>2.2399999999999998E-3</v>
      </c>
      <c r="Q193" s="11">
        <f>+ROUND(LN(H193/H194),6)</f>
        <v>5.0889999999999998E-3</v>
      </c>
      <c r="R193" s="3"/>
      <c r="T193" s="5" t="s">
        <v>192</v>
      </c>
      <c r="U193" s="15">
        <f>+ROUND(B$3*EXP(K193),6)</f>
        <v>7.5904299999999996</v>
      </c>
      <c r="V193" s="15">
        <f>+ROUND(C$3*EXP(L193),6)</f>
        <v>9.35</v>
      </c>
      <c r="W193" s="15">
        <f>+ROUND(D$3*EXP(M193),6)</f>
        <v>2.77</v>
      </c>
      <c r="X193" s="15">
        <f>+ROUND(E$3*EXP(N193),6)</f>
        <v>1.1499999999999999</v>
      </c>
      <c r="Y193" s="15">
        <f>+ROUND(F$3*EXP(O193),6)</f>
        <v>4.9995799999999999</v>
      </c>
      <c r="Z193" s="15">
        <f>+ROUND(G$3*EXP(P193),6)</f>
        <v>4.3397100000000002</v>
      </c>
      <c r="AA193" s="15">
        <f>+ROUND(H$3*EXP(Q193),6)</f>
        <v>3.437449</v>
      </c>
      <c r="AB193" s="1">
        <v>191</v>
      </c>
      <c r="AC193" s="5" t="s">
        <v>192</v>
      </c>
      <c r="AD193" s="16">
        <f>+ROUND(Pozisyon!$U$4*('Data - Simülasyon- P&amp;L'!U193-'Data - Simülasyon- P&amp;L'!B$3),6)</f>
        <v>-1378.08</v>
      </c>
      <c r="AE193" s="16">
        <f>+ROUND(Pozisyon!$U$5*('Data - Simülasyon- P&amp;L'!V193-'Data - Simülasyon- P&amp;L'!C$3),6)</f>
        <v>0</v>
      </c>
      <c r="AF193" s="16">
        <f>+ROUND(Pozisyon!$U$6*('Data - Simülasyon- P&amp;L'!W193-'Data - Simülasyon- P&amp;L'!D$3),6)</f>
        <v>0</v>
      </c>
      <c r="AG193" s="16">
        <f>+ROUND(Pozisyon!$U$7*('Data - Simülasyon- P&amp;L'!X193-'Data - Simülasyon- P&amp;L'!E$3),6)</f>
        <v>0</v>
      </c>
      <c r="AH193" s="16">
        <f>+ROUND(Pozisyon!$U$8*('Data - Simülasyon- P&amp;L'!Y193-'Data - Simülasyon- P&amp;L'!F$3),6)</f>
        <v>4190.12</v>
      </c>
      <c r="AI193" s="16">
        <f>+ROUND(Pozisyon!$U$9*('Data - Simülasyon- P&amp;L'!Z193-'Data - Simülasyon- P&amp;L'!G$3),6)</f>
        <v>2922.71</v>
      </c>
      <c r="AJ193" s="16">
        <f>+ROUND(Pozisyon!$U$10*('Data - Simülasyon- P&amp;L'!AA193-'Data - Simülasyon- P&amp;L'!H$3),6)</f>
        <v>6124.5990000000002</v>
      </c>
      <c r="AK193" s="16">
        <f>+SUM(AD193:AJ193)</f>
        <v>11859.349</v>
      </c>
      <c r="AL193" s="16">
        <f>+SMALL($AK$3:$AK$254,AB193)</f>
        <v>53284.556749999996</v>
      </c>
    </row>
    <row r="194" spans="1:38" ht="15" thickBot="1" x14ac:dyDescent="0.35">
      <c r="A194" s="5" t="s">
        <v>475</v>
      </c>
      <c r="B194" s="6">
        <v>7.94</v>
      </c>
      <c r="C194" s="5">
        <v>10.23</v>
      </c>
      <c r="D194" s="6">
        <v>4</v>
      </c>
      <c r="E194" s="5">
        <v>1.4</v>
      </c>
      <c r="F194" s="5">
        <v>7.63</v>
      </c>
      <c r="G194" s="5">
        <v>4.46</v>
      </c>
      <c r="H194" s="5">
        <v>3.92</v>
      </c>
      <c r="J194" s="5" t="s">
        <v>475</v>
      </c>
      <c r="K194" s="11">
        <f>+ROUND(LN(B194/B195),6)</f>
        <v>-6.2769999999999996E-3</v>
      </c>
      <c r="L194" s="11">
        <f>+ROUND(LN(C194/C195),6)</f>
        <v>-1.0695E-2</v>
      </c>
      <c r="M194" s="11">
        <f>+ROUND(LN(D194/D195),6)</f>
        <v>1.005E-2</v>
      </c>
      <c r="N194" s="11">
        <f>+ROUND(LN(E194/E195),6)</f>
        <v>-2.8171000000000002E-2</v>
      </c>
      <c r="O194" s="11">
        <f>+ROUND(LN(F194/F195),6)</f>
        <v>-5.2290000000000001E-3</v>
      </c>
      <c r="P194" s="11">
        <f>+ROUND(LN(G194/G195),6)</f>
        <v>-4.4739999999999997E-3</v>
      </c>
      <c r="Q194" s="11">
        <f>+ROUND(LN(H194/H195),6)</f>
        <v>0</v>
      </c>
      <c r="R194" s="3"/>
      <c r="T194" s="5" t="s">
        <v>193</v>
      </c>
      <c r="U194" s="15">
        <f>+ROUND(B$3*EXP(K194),6)</f>
        <v>7.5524440000000004</v>
      </c>
      <c r="V194" s="15">
        <f>+ROUND(C$3*EXP(L194),6)</f>
        <v>9.2505349999999993</v>
      </c>
      <c r="W194" s="15">
        <f>+ROUND(D$3*EXP(M194),6)</f>
        <v>2.7979790000000002</v>
      </c>
      <c r="X194" s="15">
        <f>+ROUND(E$3*EXP(N194),6)</f>
        <v>1.118055</v>
      </c>
      <c r="Y194" s="15">
        <f>+ROUND(F$3*EXP(O194),6)</f>
        <v>4.9540280000000001</v>
      </c>
      <c r="Z194" s="15">
        <f>+ROUND(G$3*EXP(P194),6)</f>
        <v>4.3106710000000001</v>
      </c>
      <c r="AA194" s="15">
        <f>+ROUND(H$3*EXP(Q194),6)</f>
        <v>3.42</v>
      </c>
      <c r="AB194" s="1">
        <v>192</v>
      </c>
      <c r="AC194" s="5" t="s">
        <v>193</v>
      </c>
      <c r="AD194" s="16">
        <f>+ROUND(Pozisyon!$U$4*('Data - Simülasyon- P&amp;L'!U194-'Data - Simülasyon- P&amp;L'!B$3),6)</f>
        <v>-6848.0640000000003</v>
      </c>
      <c r="AE194" s="16">
        <f>+ROUND(Pozisyon!$U$5*('Data - Simülasyon- P&amp;L'!V194-'Data - Simülasyon- P&amp;L'!C$3),6)</f>
        <v>-2486.625</v>
      </c>
      <c r="AF194" s="16">
        <f>+ROUND(Pozisyon!$U$6*('Data - Simülasyon- P&amp;L'!W194-'Data - Simülasyon- P&amp;L'!D$3),6)</f>
        <v>524.60625000000005</v>
      </c>
      <c r="AG194" s="16">
        <f>+ROUND(Pozisyon!$U$7*('Data - Simülasyon- P&amp;L'!X194-'Data - Simülasyon- P&amp;L'!E$3),6)</f>
        <v>-11276.584999999999</v>
      </c>
      <c r="AH194" s="16">
        <f>+ROUND(Pozisyon!$U$8*('Data - Simülasyon- P&amp;L'!Y194-'Data - Simülasyon- P&amp;L'!F$3),6)</f>
        <v>-5558.0079999999998</v>
      </c>
      <c r="AI194" s="16">
        <f>+ROUND(Pozisyon!$U$9*('Data - Simülasyon- P&amp;L'!Z194-'Data - Simülasyon- P&amp;L'!G$3),6)</f>
        <v>-5818.0290000000005</v>
      </c>
      <c r="AJ194" s="16">
        <f>+ROUND(Pozisyon!$U$10*('Data - Simülasyon- P&amp;L'!AA194-'Data - Simülasyon- P&amp;L'!H$3),6)</f>
        <v>0</v>
      </c>
      <c r="AK194" s="16">
        <f>+SUM(AD194:AJ194)</f>
        <v>-31462.704750000004</v>
      </c>
      <c r="AL194" s="16">
        <f>+SMALL($AK$3:$AK$254,AB194)</f>
        <v>53381.605499999998</v>
      </c>
    </row>
    <row r="195" spans="1:38" ht="15" thickBot="1" x14ac:dyDescent="0.35">
      <c r="A195" s="5" t="s">
        <v>476</v>
      </c>
      <c r="B195" s="6">
        <v>7.99</v>
      </c>
      <c r="C195" s="5">
        <v>10.34</v>
      </c>
      <c r="D195" s="6">
        <v>3.96</v>
      </c>
      <c r="E195" s="5">
        <v>1.44</v>
      </c>
      <c r="F195" s="5">
        <v>7.67</v>
      </c>
      <c r="G195" s="5">
        <v>4.4800000000000004</v>
      </c>
      <c r="H195" s="5">
        <v>3.92</v>
      </c>
      <c r="J195" s="5" t="s">
        <v>476</v>
      </c>
      <c r="K195" s="11">
        <f>+ROUND(LN(B195/B196),6)</f>
        <v>1.1328E-2</v>
      </c>
      <c r="L195" s="11">
        <f>+ROUND(LN(C195/C196),6)</f>
        <v>1.6577999999999999E-2</v>
      </c>
      <c r="M195" s="11">
        <f>+ROUND(LN(D195/D196),6)</f>
        <v>-1.5037999999999999E-2</v>
      </c>
      <c r="N195" s="11">
        <f>+ROUND(LN(E195/E196),6)</f>
        <v>4.2560000000000001E-2</v>
      </c>
      <c r="O195" s="11">
        <f>+ROUND(LN(F195/F196),6)</f>
        <v>6.5399999999999998E-3</v>
      </c>
      <c r="P195" s="11">
        <f>+ROUND(LN(G195/G196),6)</f>
        <v>6.7190000000000001E-3</v>
      </c>
      <c r="Q195" s="11">
        <f>+ROUND(LN(H195/H196),6)</f>
        <v>-2.5479999999999999E-3</v>
      </c>
      <c r="R195" s="3"/>
      <c r="T195" s="5" t="s">
        <v>194</v>
      </c>
      <c r="U195" s="15">
        <f>+ROUND(B$3*EXP(K195),6)</f>
        <v>7.6865819999999996</v>
      </c>
      <c r="V195" s="15">
        <f>+ROUND(C$3*EXP(L195),6)</f>
        <v>9.5062960000000007</v>
      </c>
      <c r="W195" s="15">
        <f>+ROUND(D$3*EXP(M195),6)</f>
        <v>2.728656</v>
      </c>
      <c r="X195" s="15">
        <f>+ROUND(E$3*EXP(N195),6)</f>
        <v>1.2</v>
      </c>
      <c r="Y195" s="15">
        <f>+ROUND(F$3*EXP(O195),6)</f>
        <v>5.0126759999999999</v>
      </c>
      <c r="Z195" s="15">
        <f>+ROUND(G$3*EXP(P195),6)</f>
        <v>4.359191</v>
      </c>
      <c r="AA195" s="15">
        <f>+ROUND(H$3*EXP(Q195),6)</f>
        <v>3.4112969999999998</v>
      </c>
      <c r="AB195" s="1">
        <v>193</v>
      </c>
      <c r="AC195" s="5" t="s">
        <v>194</v>
      </c>
      <c r="AD195" s="16">
        <f>+ROUND(Pozisyon!$U$4*('Data - Simülasyon- P&amp;L'!U195-'Data - Simülasyon- P&amp;L'!B$3),6)</f>
        <v>12467.808000000001</v>
      </c>
      <c r="AE195" s="16">
        <f>+ROUND(Pozisyon!$U$5*('Data - Simülasyon- P&amp;L'!V195-'Data - Simülasyon- P&amp;L'!C$3),6)</f>
        <v>3907.4</v>
      </c>
      <c r="AF195" s="16">
        <f>+ROUND(Pozisyon!$U$6*('Data - Simülasyon- P&amp;L'!W195-'Data - Simülasyon- P&amp;L'!D$3),6)</f>
        <v>-775.2</v>
      </c>
      <c r="AG195" s="16">
        <f>+ROUND(Pozisyon!$U$7*('Data - Simülasyon- P&amp;L'!X195-'Data - Simülasyon- P&amp;L'!E$3),6)</f>
        <v>17650</v>
      </c>
      <c r="AH195" s="16">
        <f>+ROUND(Pozisyon!$U$8*('Data - Simülasyon- P&amp;L'!Y195-'Data - Simülasyon- P&amp;L'!F$3),6)</f>
        <v>6992.6639999999998</v>
      </c>
      <c r="AI195" s="16">
        <f>+ROUND(Pozisyon!$U$9*('Data - Simülasyon- P&amp;L'!Z195-'Data - Simülasyon- P&amp;L'!G$3),6)</f>
        <v>8786.491</v>
      </c>
      <c r="AJ195" s="16">
        <f>+ROUND(Pozisyon!$U$10*('Data - Simülasyon- P&amp;L'!AA195-'Data - Simülasyon- P&amp;L'!H$3),6)</f>
        <v>-3054.7530000000002</v>
      </c>
      <c r="AK195" s="16">
        <f>+SUM(AD195:AJ195)</f>
        <v>45974.41</v>
      </c>
      <c r="AL195" s="16">
        <f>+SMALL($AK$3:$AK$254,AB195)</f>
        <v>53740.233250000005</v>
      </c>
    </row>
    <row r="196" spans="1:38" ht="15" thickBot="1" x14ac:dyDescent="0.35">
      <c r="A196" s="5" t="s">
        <v>477</v>
      </c>
      <c r="B196" s="6">
        <v>7.9</v>
      </c>
      <c r="C196" s="5">
        <v>10.17</v>
      </c>
      <c r="D196" s="6">
        <v>4.0199999999999996</v>
      </c>
      <c r="E196" s="5">
        <v>1.38</v>
      </c>
      <c r="F196" s="5">
        <v>7.62</v>
      </c>
      <c r="G196" s="5">
        <v>4.45</v>
      </c>
      <c r="H196" s="5">
        <v>3.93</v>
      </c>
      <c r="J196" s="5" t="s">
        <v>477</v>
      </c>
      <c r="K196" s="11">
        <f>+ROUND(LN(B196/B197),6)</f>
        <v>1.917E-2</v>
      </c>
      <c r="L196" s="11">
        <f>+ROUND(LN(C196/C197),6)</f>
        <v>3.9410000000000001E-3</v>
      </c>
      <c r="M196" s="11">
        <f>+ROUND(LN(D196/D197),6)</f>
        <v>0</v>
      </c>
      <c r="N196" s="11">
        <f>+ROUND(LN(E196/E197),6)</f>
        <v>1.4599000000000001E-2</v>
      </c>
      <c r="O196" s="11">
        <f>+ROUND(LN(F196/F197),6)</f>
        <v>1.0553999999999999E-2</v>
      </c>
      <c r="P196" s="11">
        <f>+ROUND(LN(G196/G197),6)</f>
        <v>2.2728000000000002E-2</v>
      </c>
      <c r="Q196" s="11">
        <f>+ROUND(LN(H196/H197),6)</f>
        <v>2.3167E-2</v>
      </c>
      <c r="R196" s="3"/>
      <c r="T196" s="5" t="s">
        <v>195</v>
      </c>
      <c r="U196" s="15">
        <f>+ROUND(B$3*EXP(K196),6)</f>
        <v>7.7470970000000001</v>
      </c>
      <c r="V196" s="15">
        <f>+ROUND(C$3*EXP(L196),6)</f>
        <v>9.3869209999999992</v>
      </c>
      <c r="W196" s="15">
        <f>+ROUND(D$3*EXP(M196),6)</f>
        <v>2.77</v>
      </c>
      <c r="X196" s="15">
        <f>+ROUND(E$3*EXP(N196),6)</f>
        <v>1.1669119999999999</v>
      </c>
      <c r="Y196" s="15">
        <f>+ROUND(F$3*EXP(O196),6)</f>
        <v>5.0328369999999998</v>
      </c>
      <c r="Z196" s="15">
        <f>+ROUND(G$3*EXP(P196),6)</f>
        <v>4.4295390000000001</v>
      </c>
      <c r="AA196" s="15">
        <f>+ROUND(H$3*EXP(Q196),6)</f>
        <v>3.500156</v>
      </c>
      <c r="AB196" s="1">
        <v>194</v>
      </c>
      <c r="AC196" s="5" t="s">
        <v>195</v>
      </c>
      <c r="AD196" s="16">
        <f>+ROUND(Pozisyon!$U$4*('Data - Simülasyon- P&amp;L'!U196-'Data - Simülasyon- P&amp;L'!B$3),6)</f>
        <v>21181.968000000001</v>
      </c>
      <c r="AE196" s="16">
        <f>+ROUND(Pozisyon!$U$5*('Data - Simülasyon- P&amp;L'!V196-'Data - Simülasyon- P&amp;L'!C$3),6)</f>
        <v>923.02499999999998</v>
      </c>
      <c r="AF196" s="16">
        <f>+ROUND(Pozisyon!$U$6*('Data - Simülasyon- P&amp;L'!W196-'Data - Simülasyon- P&amp;L'!D$3),6)</f>
        <v>0</v>
      </c>
      <c r="AG196" s="16">
        <f>+ROUND(Pozisyon!$U$7*('Data - Simülasyon- P&amp;L'!X196-'Data - Simülasyon- P&amp;L'!E$3),6)</f>
        <v>5969.9359999999997</v>
      </c>
      <c r="AH196" s="16">
        <f>+ROUND(Pozisyon!$U$8*('Data - Simülasyon- P&amp;L'!Y196-'Data - Simülasyon- P&amp;L'!F$3),6)</f>
        <v>11307.118</v>
      </c>
      <c r="AI196" s="16">
        <f>+ROUND(Pozisyon!$U$9*('Data - Simülasyon- P&amp;L'!Z196-'Data - Simülasyon- P&amp;L'!G$3),6)</f>
        <v>29961.239000000001</v>
      </c>
      <c r="AJ196" s="16">
        <f>+ROUND(Pozisyon!$U$10*('Data - Simülasyon- P&amp;L'!AA196-'Data - Simülasyon- P&amp;L'!H$3),6)</f>
        <v>28134.756000000001</v>
      </c>
      <c r="AK196" s="16">
        <f>+SUM(AD196:AJ196)</f>
        <v>97478.042000000016</v>
      </c>
      <c r="AL196" s="16">
        <f t="shared" ref="AL196:AL254" si="0">+SMALL($AK$3:$AK$254,AB196)</f>
        <v>56070.804000000004</v>
      </c>
    </row>
    <row r="197" spans="1:38" ht="15" thickBot="1" x14ac:dyDescent="0.35">
      <c r="A197" s="5" t="s">
        <v>478</v>
      </c>
      <c r="B197" s="6">
        <v>7.75</v>
      </c>
      <c r="C197" s="5">
        <v>10.130000000000001</v>
      </c>
      <c r="D197" s="6">
        <v>4.0199999999999996</v>
      </c>
      <c r="E197" s="5">
        <v>1.36</v>
      </c>
      <c r="F197" s="5">
        <v>7.54</v>
      </c>
      <c r="G197" s="5">
        <v>4.3499999999999996</v>
      </c>
      <c r="H197" s="5">
        <v>3.84</v>
      </c>
      <c r="J197" s="5" t="s">
        <v>478</v>
      </c>
      <c r="K197" s="11">
        <f>+ROUND(LN(B197/B198),6)</f>
        <v>3.8779999999999999E-3</v>
      </c>
      <c r="L197" s="11">
        <f>+ROUND(LN(C197/C198),6)</f>
        <v>-4.0625000000000001E-2</v>
      </c>
      <c r="M197" s="11">
        <f>+ROUND(LN(D197/D198),6)</f>
        <v>-2.4840000000000001E-3</v>
      </c>
      <c r="N197" s="11">
        <f>+ROUND(LN(E197/E198),6)</f>
        <v>0</v>
      </c>
      <c r="O197" s="11">
        <f>+ROUND(LN(F197/F198),6)</f>
        <v>-5.2909999999999997E-3</v>
      </c>
      <c r="P197" s="11">
        <f>+ROUND(LN(G197/G198),6)</f>
        <v>-2.2728000000000002E-2</v>
      </c>
      <c r="Q197" s="11">
        <f>+ROUND(LN(H197/H198),6)</f>
        <v>-3.0772000000000001E-2</v>
      </c>
      <c r="R197" s="3"/>
      <c r="T197" s="5" t="s">
        <v>196</v>
      </c>
      <c r="U197" s="15">
        <f>+ROUND(B$3*EXP(K197),6)</f>
        <v>7.6295299999999999</v>
      </c>
      <c r="V197" s="15">
        <f>+ROUND(C$3*EXP(L197),6)</f>
        <v>8.9777679999999993</v>
      </c>
      <c r="W197" s="15">
        <f>+ROUND(D$3*EXP(M197),6)</f>
        <v>2.763128</v>
      </c>
      <c r="X197" s="15">
        <f>+ROUND(E$3*EXP(N197),6)</f>
        <v>1.1499999999999999</v>
      </c>
      <c r="Y197" s="15">
        <f>+ROUND(F$3*EXP(O197),6)</f>
        <v>4.9537199999999997</v>
      </c>
      <c r="Z197" s="15">
        <f>+ROUND(G$3*EXP(P197),6)</f>
        <v>4.2326980000000001</v>
      </c>
      <c r="AA197" s="15">
        <f>+ROUND(H$3*EXP(Q197),6)</f>
        <v>3.3163629999999999</v>
      </c>
      <c r="AB197" s="1">
        <v>195</v>
      </c>
      <c r="AC197" s="5" t="s">
        <v>196</v>
      </c>
      <c r="AD197" s="16">
        <f>+ROUND(Pozisyon!$U$4*('Data - Simülasyon- P&amp;L'!U197-'Data - Simülasyon- P&amp;L'!B$3),6)</f>
        <v>4252.32</v>
      </c>
      <c r="AE197" s="16">
        <f>+ROUND(Pozisyon!$U$5*('Data - Simülasyon- P&amp;L'!V197-'Data - Simülasyon- P&amp;L'!C$3),6)</f>
        <v>-9305.7999999999993</v>
      </c>
      <c r="AF197" s="16">
        <f>+ROUND(Pozisyon!$U$6*('Data - Simülasyon- P&amp;L'!W197-'Data - Simülasyon- P&amp;L'!D$3),6)</f>
        <v>-128.85</v>
      </c>
      <c r="AG197" s="16">
        <f>+ROUND(Pozisyon!$U$7*('Data - Simülasyon- P&amp;L'!X197-'Data - Simülasyon- P&amp;L'!E$3),6)</f>
        <v>0</v>
      </c>
      <c r="AH197" s="16">
        <f>+ROUND(Pozisyon!$U$8*('Data - Simülasyon- P&amp;L'!Y197-'Data - Simülasyon- P&amp;L'!F$3),6)</f>
        <v>-5623.92</v>
      </c>
      <c r="AI197" s="16">
        <f>+ROUND(Pozisyon!$U$9*('Data - Simülasyon- P&amp;L'!Z197-'Data - Simülasyon- P&amp;L'!G$3),6)</f>
        <v>-29287.901999999998</v>
      </c>
      <c r="AJ197" s="16">
        <f>+ROUND(Pozisyon!$U$10*('Data - Simülasyon- P&amp;L'!AA197-'Data - Simülasyon- P&amp;L'!H$3),6)</f>
        <v>-36376.587</v>
      </c>
      <c r="AK197" s="16">
        <f>+SUM(AD197:AJ197)</f>
        <v>-76470.739000000001</v>
      </c>
      <c r="AL197" s="16">
        <f t="shared" si="0"/>
        <v>56933.429250000001</v>
      </c>
    </row>
    <row r="198" spans="1:38" ht="15" thickBot="1" x14ac:dyDescent="0.35">
      <c r="A198" s="5" t="s">
        <v>479</v>
      </c>
      <c r="B198" s="6">
        <v>7.72</v>
      </c>
      <c r="C198" s="5">
        <v>10.55</v>
      </c>
      <c r="D198" s="6">
        <v>4.03</v>
      </c>
      <c r="E198" s="5">
        <v>1.36</v>
      </c>
      <c r="F198" s="5">
        <v>7.58</v>
      </c>
      <c r="G198" s="5">
        <v>4.45</v>
      </c>
      <c r="H198" s="5">
        <v>3.96</v>
      </c>
      <c r="J198" s="5" t="s">
        <v>479</v>
      </c>
      <c r="K198" s="11">
        <f>+ROUND(LN(B198/B199),6)</f>
        <v>-1.7971999999999998E-2</v>
      </c>
      <c r="L198" s="11">
        <f>+ROUND(LN(C198/C199),6)</f>
        <v>-7.9240000000000005E-2</v>
      </c>
      <c r="M198" s="11">
        <f>+ROUND(LN(D198/D199),6)</f>
        <v>2.4840000000000001E-3</v>
      </c>
      <c r="N198" s="11">
        <f>+ROUND(LN(E198/E199),6)</f>
        <v>1.4815E-2</v>
      </c>
      <c r="O198" s="11">
        <f>+ROUND(LN(F198/F199),6)</f>
        <v>-5.0171E-2</v>
      </c>
      <c r="P198" s="11">
        <f>+ROUND(LN(G198/G199),6)</f>
        <v>-3.7490999999999997E-2</v>
      </c>
      <c r="Q198" s="11">
        <f>+ROUND(LN(H198/H199),6)</f>
        <v>-1.5037999999999999E-2</v>
      </c>
      <c r="R198" s="3"/>
      <c r="T198" s="5" t="s">
        <v>197</v>
      </c>
      <c r="U198" s="15">
        <f>+ROUND(B$3*EXP(K198),6)</f>
        <v>7.4646330000000001</v>
      </c>
      <c r="V198" s="15">
        <f>+ROUND(C$3*EXP(L198),6)</f>
        <v>8.6377000000000006</v>
      </c>
      <c r="W198" s="15">
        <f>+ROUND(D$3*EXP(M198),6)</f>
        <v>2.7768890000000002</v>
      </c>
      <c r="X198" s="15">
        <f>+ROUND(E$3*EXP(N198),6)</f>
        <v>1.1671640000000001</v>
      </c>
      <c r="Y198" s="15">
        <f>+ROUND(F$3*EXP(O198),6)</f>
        <v>4.736313</v>
      </c>
      <c r="Z198" s="15">
        <f>+ROUND(G$3*EXP(P198),6)</f>
        <v>4.1706690000000002</v>
      </c>
      <c r="AA198" s="15">
        <f>+ROUND(H$3*EXP(Q198),6)</f>
        <v>3.3689550000000001</v>
      </c>
      <c r="AB198" s="1">
        <v>196</v>
      </c>
      <c r="AC198" s="5" t="s">
        <v>197</v>
      </c>
      <c r="AD198" s="16">
        <f>+ROUND(Pozisyon!$U$4*('Data - Simülasyon- P&amp;L'!U198-'Data - Simülasyon- P&amp;L'!B$3),6)</f>
        <v>-19492.848000000002</v>
      </c>
      <c r="AE198" s="16">
        <f>+ROUND(Pozisyon!$U$5*('Data - Simülasyon- P&amp;L'!V198-'Data - Simülasyon- P&amp;L'!C$3),6)</f>
        <v>-17807.5</v>
      </c>
      <c r="AF198" s="16">
        <f>+ROUND(Pozisyon!$U$6*('Data - Simülasyon- P&amp;L'!W198-'Data - Simülasyon- P&amp;L'!D$3),6)</f>
        <v>129.16874999999999</v>
      </c>
      <c r="AG198" s="16">
        <f>+ROUND(Pozisyon!$U$7*('Data - Simülasyon- P&amp;L'!X198-'Data - Simülasyon- P&amp;L'!E$3),6)</f>
        <v>6058.8919999999998</v>
      </c>
      <c r="AH198" s="16">
        <f>+ROUND(Pozisyon!$U$8*('Data - Simülasyon- P&amp;L'!Y198-'Data - Simülasyon- P&amp;L'!F$3),6)</f>
        <v>-52149.017999999996</v>
      </c>
      <c r="AI198" s="16">
        <f>+ROUND(Pozisyon!$U$9*('Data - Simülasyon- P&amp;L'!Z198-'Data - Simülasyon- P&amp;L'!G$3),6)</f>
        <v>-47958.631000000001</v>
      </c>
      <c r="AJ198" s="16">
        <f>+ROUND(Pozisyon!$U$10*('Data - Simülasyon- P&amp;L'!AA198-'Data - Simülasyon- P&amp;L'!H$3),6)</f>
        <v>-17916.794999999998</v>
      </c>
      <c r="AK198" s="16">
        <f>+SUM(AD198:AJ198)</f>
        <v>-149136.73125000001</v>
      </c>
      <c r="AL198" s="16">
        <f t="shared" si="0"/>
        <v>57457.392999999996</v>
      </c>
    </row>
    <row r="199" spans="1:38" ht="15" thickBot="1" x14ac:dyDescent="0.35">
      <c r="A199" s="5" t="s">
        <v>480</v>
      </c>
      <c r="B199" s="6">
        <v>7.86</v>
      </c>
      <c r="C199" s="5">
        <v>11.42</v>
      </c>
      <c r="D199" s="6">
        <v>4.0199999999999996</v>
      </c>
      <c r="E199" s="5">
        <v>1.34</v>
      </c>
      <c r="F199" s="5">
        <v>7.97</v>
      </c>
      <c r="G199" s="5">
        <v>4.62</v>
      </c>
      <c r="H199" s="5">
        <v>4.0199999999999996</v>
      </c>
      <c r="J199" s="5" t="s">
        <v>480</v>
      </c>
      <c r="K199" s="11">
        <f>+ROUND(LN(B199/B200),6)</f>
        <v>6.3819999999999997E-3</v>
      </c>
      <c r="L199" s="11">
        <f>+ROUND(LN(C199/C200),6)</f>
        <v>2.3927E-2</v>
      </c>
      <c r="M199" s="11">
        <f>+ROUND(LN(D199/D200),6)</f>
        <v>1.5037999999999999E-2</v>
      </c>
      <c r="N199" s="11">
        <f>+ROUND(LN(E199/E200),6)</f>
        <v>4.5809999999999997E-2</v>
      </c>
      <c r="O199" s="11">
        <f>+ROUND(LN(F199/F200),6)</f>
        <v>6.293E-3</v>
      </c>
      <c r="P199" s="11">
        <f>+ROUND(LN(G199/G200),6)</f>
        <v>1.3072E-2</v>
      </c>
      <c r="Q199" s="11">
        <f>+ROUND(LN(H199/H200),6)</f>
        <v>-2.4840000000000001E-3</v>
      </c>
      <c r="R199" s="3"/>
      <c r="T199" s="5" t="s">
        <v>198</v>
      </c>
      <c r="U199" s="15">
        <f>+ROUND(B$3*EXP(K199),6)</f>
        <v>7.6486580000000002</v>
      </c>
      <c r="V199" s="15">
        <f>+ROUND(C$3*EXP(L199),6)</f>
        <v>9.5764150000000008</v>
      </c>
      <c r="W199" s="15">
        <f>+ROUND(D$3*EXP(M199),6)</f>
        <v>2.8119700000000001</v>
      </c>
      <c r="X199" s="15">
        <f>+ROUND(E$3*EXP(N199),6)</f>
        <v>1.2039070000000001</v>
      </c>
      <c r="Y199" s="15">
        <f>+ROUND(F$3*EXP(O199),6)</f>
        <v>5.0114380000000001</v>
      </c>
      <c r="Z199" s="15">
        <f>+ROUND(G$3*EXP(P199),6)</f>
        <v>4.3869730000000002</v>
      </c>
      <c r="AA199" s="15">
        <f>+ROUND(H$3*EXP(Q199),6)</f>
        <v>3.4115150000000001</v>
      </c>
      <c r="AB199" s="1">
        <v>197</v>
      </c>
      <c r="AC199" s="5" t="s">
        <v>198</v>
      </c>
      <c r="AD199" s="16">
        <f>+ROUND(Pozisyon!$U$4*('Data - Simülasyon- P&amp;L'!U199-'Data - Simülasyon- P&amp;L'!B$3),6)</f>
        <v>7006.7520000000004</v>
      </c>
      <c r="AE199" s="16">
        <f>+ROUND(Pozisyon!$U$5*('Data - Simülasyon- P&amp;L'!V199-'Data - Simülasyon- P&amp;L'!C$3),6)</f>
        <v>5660.375</v>
      </c>
      <c r="AF199" s="16">
        <f>+ROUND(Pozisyon!$U$6*('Data - Simülasyon- P&amp;L'!W199-'Data - Simülasyon- P&amp;L'!D$3),6)</f>
        <v>786.9375</v>
      </c>
      <c r="AG199" s="16">
        <f>+ROUND(Pozisyon!$U$7*('Data - Simülasyon- P&amp;L'!X199-'Data - Simülasyon- P&amp;L'!E$3),6)</f>
        <v>19029.170999999998</v>
      </c>
      <c r="AH199" s="16">
        <f>+ROUND(Pozisyon!$U$8*('Data - Simülasyon- P&amp;L'!Y199-'Data - Simülasyon- P&amp;L'!F$3),6)</f>
        <v>6727.732</v>
      </c>
      <c r="AI199" s="16">
        <f>+ROUND(Pozisyon!$U$9*('Data - Simülasyon- P&amp;L'!Z199-'Data - Simülasyon- P&amp;L'!G$3),6)</f>
        <v>17148.873</v>
      </c>
      <c r="AJ199" s="16">
        <f>+ROUND(Pozisyon!$U$10*('Data - Simülasyon- P&amp;L'!AA199-'Data - Simülasyon- P&amp;L'!H$3),6)</f>
        <v>-2978.2350000000001</v>
      </c>
      <c r="AK199" s="16">
        <f>+SUM(AD199:AJ199)</f>
        <v>53381.605499999998</v>
      </c>
      <c r="AL199" s="16">
        <f t="shared" si="0"/>
        <v>59601.327499999999</v>
      </c>
    </row>
    <row r="200" spans="1:38" ht="15" thickBot="1" x14ac:dyDescent="0.35">
      <c r="A200" s="5" t="s">
        <v>481</v>
      </c>
      <c r="B200" s="6">
        <v>7.81</v>
      </c>
      <c r="C200" s="5">
        <v>11.15</v>
      </c>
      <c r="D200" s="6">
        <v>3.96</v>
      </c>
      <c r="E200" s="5">
        <v>1.28</v>
      </c>
      <c r="F200" s="5">
        <v>7.92</v>
      </c>
      <c r="G200" s="5">
        <v>4.5599999999999996</v>
      </c>
      <c r="H200" s="5">
        <v>4.03</v>
      </c>
      <c r="J200" s="5" t="s">
        <v>481</v>
      </c>
      <c r="K200" s="11">
        <f>+ROUND(LN(B200/B201),6)</f>
        <v>1.1591000000000001E-2</v>
      </c>
      <c r="L200" s="11">
        <f>+ROUND(LN(C200/C201),6)</f>
        <v>1.6275000000000001E-2</v>
      </c>
      <c r="M200" s="11">
        <f>+ROUND(LN(D200/D201),6)</f>
        <v>1.5266999999999999E-2</v>
      </c>
      <c r="N200" s="11">
        <f>+ROUND(LN(E200/E201),6)</f>
        <v>3.1748999999999999E-2</v>
      </c>
      <c r="O200" s="11">
        <f>+ROUND(LN(F200/F201),6)</f>
        <v>1.0152E-2</v>
      </c>
      <c r="P200" s="11">
        <f>+ROUND(LN(G200/G201),6)</f>
        <v>8.8109999999999994E-3</v>
      </c>
      <c r="Q200" s="11">
        <f>+ROUND(LN(H200/H201),6)</f>
        <v>1.4999999999999999E-2</v>
      </c>
      <c r="R200" s="3"/>
      <c r="T200" s="5" t="s">
        <v>199</v>
      </c>
      <c r="U200" s="15">
        <f>+ROUND(B$3*EXP(K200),6)</f>
        <v>7.6886039999999998</v>
      </c>
      <c r="V200" s="15">
        <f>+ROUND(C$3*EXP(L200),6)</f>
        <v>9.5034159999999996</v>
      </c>
      <c r="W200" s="15">
        <f>+ROUND(D$3*EXP(M200),6)</f>
        <v>2.8126139999999999</v>
      </c>
      <c r="X200" s="15">
        <f>+ROUND(E$3*EXP(N200),6)</f>
        <v>1.1870970000000001</v>
      </c>
      <c r="Y200" s="15">
        <f>+ROUND(F$3*EXP(O200),6)</f>
        <v>5.0308140000000003</v>
      </c>
      <c r="Z200" s="15">
        <f>+ROUND(G$3*EXP(P200),6)</f>
        <v>4.3683199999999998</v>
      </c>
      <c r="AA200" s="15">
        <f>+ROUND(H$3*EXP(Q200),6)</f>
        <v>3.4716870000000002</v>
      </c>
      <c r="AB200" s="1">
        <v>198</v>
      </c>
      <c r="AC200" s="5" t="s">
        <v>199</v>
      </c>
      <c r="AD200" s="16">
        <f>+ROUND(Pozisyon!$U$4*('Data - Simülasyon- P&amp;L'!U200-'Data - Simülasyon- P&amp;L'!B$3),6)</f>
        <v>12758.976000000001</v>
      </c>
      <c r="AE200" s="16">
        <f>+ROUND(Pozisyon!$U$5*('Data - Simülasyon- P&amp;L'!V200-'Data - Simülasyon- P&amp;L'!C$3),6)</f>
        <v>3835.4</v>
      </c>
      <c r="AF200" s="16">
        <f>+ROUND(Pozisyon!$U$6*('Data - Simülasyon- P&amp;L'!W200-'Data - Simülasyon- P&amp;L'!D$3),6)</f>
        <v>799.01250000000005</v>
      </c>
      <c r="AG200" s="16">
        <f>+ROUND(Pozisyon!$U$7*('Data - Simülasyon- P&amp;L'!X200-'Data - Simülasyon- P&amp;L'!E$3),6)</f>
        <v>13095.241</v>
      </c>
      <c r="AH200" s="16">
        <f>+ROUND(Pozisyon!$U$8*('Data - Simülasyon- P&amp;L'!Y200-'Data - Simülasyon- P&amp;L'!F$3),6)</f>
        <v>10874.196</v>
      </c>
      <c r="AI200" s="16">
        <f>+ROUND(Pozisyon!$U$9*('Data - Simülasyon- P&amp;L'!Z200-'Data - Simülasyon- P&amp;L'!G$3),6)</f>
        <v>11534.32</v>
      </c>
      <c r="AJ200" s="16">
        <f>+ROUND(Pozisyon!$U$10*('Data - Simülasyon- P&amp;L'!AA200-'Data - Simülasyon- P&amp;L'!H$3),6)</f>
        <v>18142.136999999999</v>
      </c>
      <c r="AK200" s="16">
        <f>+SUM(AD200:AJ200)</f>
        <v>71039.282500000001</v>
      </c>
      <c r="AL200" s="16">
        <f t="shared" si="0"/>
        <v>60484.56</v>
      </c>
    </row>
    <row r="201" spans="1:38" ht="15" thickBot="1" x14ac:dyDescent="0.35">
      <c r="A201" s="5" t="s">
        <v>482</v>
      </c>
      <c r="B201" s="6">
        <v>7.72</v>
      </c>
      <c r="C201" s="5">
        <v>10.97</v>
      </c>
      <c r="D201" s="6">
        <v>3.9</v>
      </c>
      <c r="E201" s="5">
        <v>1.24</v>
      </c>
      <c r="F201" s="5">
        <v>7.84</v>
      </c>
      <c r="G201" s="5">
        <v>4.5199999999999996</v>
      </c>
      <c r="H201" s="5">
        <v>3.97</v>
      </c>
      <c r="J201" s="5" t="s">
        <v>482</v>
      </c>
      <c r="K201" s="11">
        <f>+ROUND(LN(B201/B202),6)</f>
        <v>2.3591999999999998E-2</v>
      </c>
      <c r="L201" s="11">
        <f>+ROUND(LN(C201/C202),6)</f>
        <v>3.6199000000000002E-2</v>
      </c>
      <c r="M201" s="11">
        <f>+ROUND(LN(D201/D202),6)</f>
        <v>-2.0305E-2</v>
      </c>
      <c r="N201" s="11">
        <f>+ROUND(LN(E201/E202),6)</f>
        <v>2.4490999999999999E-2</v>
      </c>
      <c r="O201" s="11">
        <f>+ROUND(LN(F201/F202),6)</f>
        <v>1.0257E-2</v>
      </c>
      <c r="P201" s="11">
        <f>+ROUND(LN(G201/G202),6)</f>
        <v>3.1462999999999998E-2</v>
      </c>
      <c r="Q201" s="11">
        <f>+ROUND(LN(H201/H202),6)</f>
        <v>2.8098999999999999E-2</v>
      </c>
      <c r="R201" s="3"/>
      <c r="T201" s="5" t="s">
        <v>200</v>
      </c>
      <c r="U201" s="15">
        <f>+ROUND(B$3*EXP(K201),6)</f>
        <v>7.7814310000000004</v>
      </c>
      <c r="V201" s="15">
        <f>+ROUND(C$3*EXP(L201),6)</f>
        <v>9.694661</v>
      </c>
      <c r="W201" s="15">
        <f>+ROUND(D$3*EXP(M201),6)</f>
        <v>2.7143220000000001</v>
      </c>
      <c r="X201" s="15">
        <f>+ROUND(E$3*EXP(N201),6)</f>
        <v>1.178512</v>
      </c>
      <c r="Y201" s="15">
        <f>+ROUND(F$3*EXP(O201),6)</f>
        <v>5.0313429999999997</v>
      </c>
      <c r="Z201" s="15">
        <f>+ROUND(G$3*EXP(P201),6)</f>
        <v>4.4684010000000001</v>
      </c>
      <c r="AA201" s="15">
        <f>+ROUND(H$3*EXP(Q201),6)</f>
        <v>3.5174609999999999</v>
      </c>
      <c r="AB201" s="1">
        <v>199</v>
      </c>
      <c r="AC201" s="5" t="s">
        <v>200</v>
      </c>
      <c r="AD201" s="16">
        <f>+ROUND(Pozisyon!$U$4*('Data - Simülasyon- P&amp;L'!U201-'Data - Simülasyon- P&amp;L'!B$3),6)</f>
        <v>26126.063999999998</v>
      </c>
      <c r="AE201" s="16">
        <f>+ROUND(Pozisyon!$U$5*('Data - Simülasyon- P&amp;L'!V201-'Data - Simülasyon- P&amp;L'!C$3),6)</f>
        <v>8616.5249999999996</v>
      </c>
      <c r="AF201" s="16">
        <f>+ROUND(Pozisyon!$U$6*('Data - Simülasyon- P&amp;L'!W201-'Data - Simülasyon- P&amp;L'!D$3),6)</f>
        <v>-1043.9625000000001</v>
      </c>
      <c r="AG201" s="16">
        <f>+ROUND(Pozisyon!$U$7*('Data - Simülasyon- P&amp;L'!X201-'Data - Simülasyon- P&amp;L'!E$3),6)</f>
        <v>10064.736000000001</v>
      </c>
      <c r="AH201" s="16">
        <f>+ROUND(Pozisyon!$U$8*('Data - Simülasyon- P&amp;L'!Y201-'Data - Simülasyon- P&amp;L'!F$3),6)</f>
        <v>10987.402</v>
      </c>
      <c r="AI201" s="16">
        <f>+ROUND(Pozisyon!$U$9*('Data - Simülasyon- P&amp;L'!Z201-'Data - Simülasyon- P&amp;L'!G$3),6)</f>
        <v>41658.701000000001</v>
      </c>
      <c r="AJ201" s="16">
        <f>+ROUND(Pozisyon!$U$10*('Data - Simülasyon- P&amp;L'!AA201-'Data - Simülasyon- P&amp;L'!H$3),6)</f>
        <v>34208.811000000002</v>
      </c>
      <c r="AK201" s="16">
        <f>+SUM(AD201:AJ201)</f>
        <v>130618.27650000001</v>
      </c>
      <c r="AL201" s="16">
        <f t="shared" si="0"/>
        <v>62059.927250000001</v>
      </c>
    </row>
    <row r="202" spans="1:38" ht="15" thickBot="1" x14ac:dyDescent="0.35">
      <c r="A202" s="5" t="s">
        <v>483</v>
      </c>
      <c r="B202" s="6">
        <v>7.54</v>
      </c>
      <c r="C202" s="5">
        <v>10.58</v>
      </c>
      <c r="D202" s="6">
        <v>3.98</v>
      </c>
      <c r="E202" s="5">
        <v>1.21</v>
      </c>
      <c r="F202" s="5">
        <v>7.76</v>
      </c>
      <c r="G202" s="5">
        <v>4.38</v>
      </c>
      <c r="H202" s="5">
        <v>3.86</v>
      </c>
      <c r="J202" s="5" t="s">
        <v>483</v>
      </c>
      <c r="K202" s="11">
        <f>+ROUND(LN(B202/B203),6)</f>
        <v>-2.6489999999999999E-3</v>
      </c>
      <c r="L202" s="11">
        <f>+ROUND(LN(C202/C203),6)</f>
        <v>-3.774E-3</v>
      </c>
      <c r="M202" s="11">
        <f>+ROUND(LN(D202/D203),6)</f>
        <v>7.5659999999999998E-3</v>
      </c>
      <c r="N202" s="11">
        <f>+ROUND(LN(E202/E203),6)</f>
        <v>-8.2299999999999995E-3</v>
      </c>
      <c r="O202" s="11">
        <f>+ROUND(LN(F202/F203),6)</f>
        <v>9.0620000000000006E-3</v>
      </c>
      <c r="P202" s="11">
        <f>+ROUND(LN(G202/G203),6)</f>
        <v>-4.5560000000000002E-3</v>
      </c>
      <c r="Q202" s="11">
        <f>+ROUND(LN(H202/H203),6)</f>
        <v>-1.5424E-2</v>
      </c>
      <c r="R202" s="3"/>
      <c r="T202" s="5" t="s">
        <v>201</v>
      </c>
      <c r="U202" s="15">
        <f>+ROUND(B$3*EXP(K202),6)</f>
        <v>7.5798940000000004</v>
      </c>
      <c r="V202" s="15">
        <f>+ROUND(C$3*EXP(L202),6)</f>
        <v>9.3147800000000007</v>
      </c>
      <c r="W202" s="15">
        <f>+ROUND(D$3*EXP(M202),6)</f>
        <v>2.7910370000000002</v>
      </c>
      <c r="X202" s="15">
        <f>+ROUND(E$3*EXP(N202),6)</f>
        <v>1.140574</v>
      </c>
      <c r="Y202" s="15">
        <f>+ROUND(F$3*EXP(O202),6)</f>
        <v>5.025334</v>
      </c>
      <c r="Z202" s="15">
        <f>+ROUND(G$3*EXP(P202),6)</f>
        <v>4.3103170000000004</v>
      </c>
      <c r="AA202" s="15">
        <f>+ROUND(H$3*EXP(Q202),6)</f>
        <v>3.3676550000000001</v>
      </c>
      <c r="AB202" s="1">
        <v>200</v>
      </c>
      <c r="AC202" s="5" t="s">
        <v>201</v>
      </c>
      <c r="AD202" s="16">
        <f>+ROUND(Pozisyon!$U$4*('Data - Simülasyon- P&amp;L'!U202-'Data - Simülasyon- P&amp;L'!B$3),6)</f>
        <v>-2895.2640000000001</v>
      </c>
      <c r="AE202" s="16">
        <f>+ROUND(Pozisyon!$U$5*('Data - Simülasyon- P&amp;L'!V202-'Data - Simülasyon- P&amp;L'!C$3),6)</f>
        <v>-880.5</v>
      </c>
      <c r="AF202" s="16">
        <f>+ROUND(Pozisyon!$U$6*('Data - Simülasyon- P&amp;L'!W202-'Data - Simülasyon- P&amp;L'!D$3),6)</f>
        <v>394.44375000000002</v>
      </c>
      <c r="AG202" s="16">
        <f>+ROUND(Pozisyon!$U$7*('Data - Simülasyon- P&amp;L'!X202-'Data - Simülasyon- P&amp;L'!E$3),6)</f>
        <v>-3327.3780000000002</v>
      </c>
      <c r="AH202" s="16">
        <f>+ROUND(Pozisyon!$U$8*('Data - Simülasyon- P&amp;L'!Y202-'Data - Simülasyon- P&amp;L'!F$3),6)</f>
        <v>9701.4760000000006</v>
      </c>
      <c r="AI202" s="16">
        <f>+ROUND(Pozisyon!$U$9*('Data - Simülasyon- P&amp;L'!Z202-'Data - Simülasyon- P&amp;L'!G$3),6)</f>
        <v>-5924.5829999999996</v>
      </c>
      <c r="AJ202" s="16">
        <f>+ROUND(Pozisyon!$U$10*('Data - Simülasyon- P&amp;L'!AA202-'Data - Simülasyon- P&amp;L'!H$3),6)</f>
        <v>-18373.095000000001</v>
      </c>
      <c r="AK202" s="16">
        <f>+SUM(AD202:AJ202)</f>
        <v>-21304.900249999999</v>
      </c>
      <c r="AL202" s="16">
        <f t="shared" si="0"/>
        <v>65550.954249999995</v>
      </c>
    </row>
    <row r="203" spans="1:38" ht="15" thickBot="1" x14ac:dyDescent="0.35">
      <c r="A203" s="5" t="s">
        <v>484</v>
      </c>
      <c r="B203" s="6">
        <v>7.56</v>
      </c>
      <c r="C203" s="5">
        <v>10.62</v>
      </c>
      <c r="D203" s="6">
        <v>3.95</v>
      </c>
      <c r="E203" s="5">
        <v>1.22</v>
      </c>
      <c r="F203" s="5">
        <v>7.69</v>
      </c>
      <c r="G203" s="5">
        <v>4.4000000000000004</v>
      </c>
      <c r="H203" s="5">
        <v>3.92</v>
      </c>
      <c r="J203" s="5" t="s">
        <v>484</v>
      </c>
      <c r="K203" s="11">
        <f>+ROUND(LN(B203/B204),6)</f>
        <v>-1.3141E-2</v>
      </c>
      <c r="L203" s="11">
        <f>+ROUND(LN(C203/C204),6)</f>
        <v>-2.6023999999999999E-2</v>
      </c>
      <c r="M203" s="11">
        <f>+ROUND(LN(D203/D204),6)</f>
        <v>0</v>
      </c>
      <c r="N203" s="11">
        <f>+ROUND(LN(E203/E204),6)</f>
        <v>-3.2260999999999998E-2</v>
      </c>
      <c r="O203" s="11">
        <f>+ROUND(LN(F203/F204),6)</f>
        <v>-2.1866E-2</v>
      </c>
      <c r="P203" s="11">
        <f>+ROUND(LN(G203/G204),6)</f>
        <v>-9.0500000000000008E-3</v>
      </c>
      <c r="Q203" s="11">
        <f>+ROUND(LN(H203/H204),6)</f>
        <v>-7.6239999999999997E-3</v>
      </c>
      <c r="R203" s="3"/>
      <c r="T203" s="5" t="s">
        <v>202</v>
      </c>
      <c r="U203" s="15">
        <f>+ROUND(B$3*EXP(K203),6)</f>
        <v>7.5007820000000001</v>
      </c>
      <c r="V203" s="15">
        <f>+ROUND(C$3*EXP(L203),6)</f>
        <v>9.1098140000000001</v>
      </c>
      <c r="W203" s="15">
        <f>+ROUND(D$3*EXP(M203),6)</f>
        <v>2.77</v>
      </c>
      <c r="X203" s="15">
        <f>+ROUND(E$3*EXP(N203),6)</f>
        <v>1.1134919999999999</v>
      </c>
      <c r="Y203" s="15">
        <f>+ROUND(F$3*EXP(O203),6)</f>
        <v>4.8722890000000003</v>
      </c>
      <c r="Z203" s="15">
        <f>+ROUND(G$3*EXP(P203),6)</f>
        <v>4.2909899999999999</v>
      </c>
      <c r="AA203" s="15">
        <f>+ROUND(H$3*EXP(Q203),6)</f>
        <v>3.3940250000000001</v>
      </c>
      <c r="AB203" s="1">
        <v>201</v>
      </c>
      <c r="AC203" s="5" t="s">
        <v>202</v>
      </c>
      <c r="AD203" s="16">
        <f>+ROUND(Pozisyon!$U$4*('Data - Simülasyon- P&amp;L'!U203-'Data - Simülasyon- P&amp;L'!B$3),6)</f>
        <v>-14287.392</v>
      </c>
      <c r="AE203" s="16">
        <f>+ROUND(Pozisyon!$U$5*('Data - Simülasyon- P&amp;L'!V203-'Data - Simülasyon- P&amp;L'!C$3),6)</f>
        <v>-6004.65</v>
      </c>
      <c r="AF203" s="16">
        <f>+ROUND(Pozisyon!$U$6*('Data - Simülasyon- P&amp;L'!W203-'Data - Simülasyon- P&amp;L'!D$3),6)</f>
        <v>0</v>
      </c>
      <c r="AG203" s="16">
        <f>+ROUND(Pozisyon!$U$7*('Data - Simülasyon- P&amp;L'!X203-'Data - Simülasyon- P&amp;L'!E$3),6)</f>
        <v>-12887.324000000001</v>
      </c>
      <c r="AH203" s="16">
        <f>+ROUND(Pozisyon!$U$8*('Data - Simülasyon- P&amp;L'!Y203-'Data - Simülasyon- P&amp;L'!F$3),6)</f>
        <v>-23050.153999999999</v>
      </c>
      <c r="AI203" s="16">
        <f>+ROUND(Pozisyon!$U$9*('Data - Simülasyon- P&amp;L'!Z203-'Data - Simülasyon- P&amp;L'!G$3),6)</f>
        <v>-11742.01</v>
      </c>
      <c r="AJ203" s="16">
        <f>+ROUND(Pozisyon!$U$10*('Data - Simülasyon- P&amp;L'!AA203-'Data - Simülasyon- P&amp;L'!H$3),6)</f>
        <v>-9117.2250000000004</v>
      </c>
      <c r="AK203" s="16">
        <f>+SUM(AD203:AJ203)</f>
        <v>-77088.755000000005</v>
      </c>
      <c r="AL203" s="16">
        <f t="shared" si="0"/>
        <v>65853.075750000004</v>
      </c>
    </row>
    <row r="204" spans="1:38" ht="15" thickBot="1" x14ac:dyDescent="0.35">
      <c r="A204" s="5" t="s">
        <v>485</v>
      </c>
      <c r="B204" s="6">
        <v>7.66</v>
      </c>
      <c r="C204" s="5">
        <v>10.9</v>
      </c>
      <c r="D204" s="6">
        <v>3.95</v>
      </c>
      <c r="E204" s="5">
        <v>1.26</v>
      </c>
      <c r="F204" s="5">
        <v>7.86</v>
      </c>
      <c r="G204" s="5">
        <v>4.4400000000000004</v>
      </c>
      <c r="H204" s="5">
        <v>3.95</v>
      </c>
      <c r="J204" s="5" t="s">
        <v>485</v>
      </c>
      <c r="K204" s="11">
        <f>+ROUND(LN(B204/B205),6)</f>
        <v>1.3060000000000001E-3</v>
      </c>
      <c r="L204" s="11">
        <f>+ROUND(LN(C204/C205),6)</f>
        <v>0</v>
      </c>
      <c r="M204" s="11">
        <f>+ROUND(LN(D204/D205),6)</f>
        <v>-1.0076E-2</v>
      </c>
      <c r="N204" s="11">
        <f>+ROUND(LN(E204/E205),6)</f>
        <v>7.9679999999999994E-3</v>
      </c>
      <c r="O204" s="11">
        <f>+ROUND(LN(F204/F205),6)</f>
        <v>1.4094000000000001E-2</v>
      </c>
      <c r="P204" s="11">
        <f>+ROUND(LN(G204/G205),6)</f>
        <v>4.5149999999999999E-3</v>
      </c>
      <c r="Q204" s="11">
        <f>+ROUND(LN(H204/H205),6)</f>
        <v>2.5349999999999999E-3</v>
      </c>
      <c r="R204" s="3"/>
      <c r="T204" s="5" t="s">
        <v>203</v>
      </c>
      <c r="U204" s="15">
        <f>+ROUND(B$3*EXP(K204),6)</f>
        <v>7.6099319999999997</v>
      </c>
      <c r="V204" s="15">
        <f>+ROUND(C$3*EXP(L204),6)</f>
        <v>9.35</v>
      </c>
      <c r="W204" s="15">
        <f>+ROUND(D$3*EXP(M204),6)</f>
        <v>2.7422300000000002</v>
      </c>
      <c r="X204" s="15">
        <f>+ROUND(E$3*EXP(N204),6)</f>
        <v>1.1592</v>
      </c>
      <c r="Y204" s="15">
        <f>+ROUND(F$3*EXP(O204),6)</f>
        <v>5.0506849999999996</v>
      </c>
      <c r="Z204" s="15">
        <f>+ROUND(G$3*EXP(P204),6)</f>
        <v>4.3495939999999997</v>
      </c>
      <c r="AA204" s="15">
        <f>+ROUND(H$3*EXP(Q204),6)</f>
        <v>3.4286810000000001</v>
      </c>
      <c r="AB204" s="1">
        <v>202</v>
      </c>
      <c r="AC204" s="5" t="s">
        <v>203</v>
      </c>
      <c r="AD204" s="16">
        <f>+ROUND(Pozisyon!$U$4*('Data - Simülasyon- P&amp;L'!U204-'Data - Simülasyon- P&amp;L'!B$3),6)</f>
        <v>1430.2080000000001</v>
      </c>
      <c r="AE204" s="16">
        <f>+ROUND(Pozisyon!$U$5*('Data - Simülasyon- P&amp;L'!V204-'Data - Simülasyon- P&amp;L'!C$3),6)</f>
        <v>0</v>
      </c>
      <c r="AF204" s="16">
        <f>+ROUND(Pozisyon!$U$6*('Data - Simülasyon- P&amp;L'!W204-'Data - Simülasyon- P&amp;L'!D$3),6)</f>
        <v>-520.6875</v>
      </c>
      <c r="AG204" s="16">
        <f>+ROUND(Pozisyon!$U$7*('Data - Simülasyon- P&amp;L'!X204-'Data - Simülasyon- P&amp;L'!E$3),6)</f>
        <v>3247.6</v>
      </c>
      <c r="AH204" s="16">
        <f>+ROUND(Pozisyon!$U$8*('Data - Simülasyon- P&amp;L'!Y204-'Data - Simülasyon- P&amp;L'!F$3),6)</f>
        <v>15126.59</v>
      </c>
      <c r="AI204" s="16">
        <f>+ROUND(Pozisyon!$U$9*('Data - Simülasyon- P&amp;L'!Z204-'Data - Simülasyon- P&amp;L'!G$3),6)</f>
        <v>5897.7939999999999</v>
      </c>
      <c r="AJ204" s="16">
        <f>+ROUND(Pozisyon!$U$10*('Data - Simülasyon- P&amp;L'!AA204-'Data - Simülasyon- P&amp;L'!H$3),6)</f>
        <v>3047.0309999999999</v>
      </c>
      <c r="AK204" s="16">
        <f>+SUM(AD204:AJ204)</f>
        <v>28228.535500000002</v>
      </c>
      <c r="AL204" s="16">
        <f t="shared" si="0"/>
        <v>66189.155499999993</v>
      </c>
    </row>
    <row r="205" spans="1:38" ht="15" thickBot="1" x14ac:dyDescent="0.35">
      <c r="A205" s="5" t="s">
        <v>486</v>
      </c>
      <c r="B205" s="6">
        <v>7.65</v>
      </c>
      <c r="C205" s="5">
        <v>10.9</v>
      </c>
      <c r="D205" s="6">
        <v>3.99</v>
      </c>
      <c r="E205" s="5">
        <v>1.25</v>
      </c>
      <c r="F205" s="5">
        <v>7.75</v>
      </c>
      <c r="G205" s="5">
        <v>4.42</v>
      </c>
      <c r="H205" s="5">
        <v>3.94</v>
      </c>
      <c r="J205" s="5" t="s">
        <v>486</v>
      </c>
      <c r="K205" s="11">
        <f>+ROUND(LN(B205/B206),6)</f>
        <v>2.6180000000000001E-3</v>
      </c>
      <c r="L205" s="11">
        <f>+ROUND(LN(C205/C206),6)</f>
        <v>1.1998E-2</v>
      </c>
      <c r="M205" s="11">
        <f>+ROUND(LN(D205/D206),6)</f>
        <v>-2.503E-3</v>
      </c>
      <c r="N205" s="11">
        <f>+ROUND(LN(E205/E206),6)</f>
        <v>-7.9679999999999994E-3</v>
      </c>
      <c r="O205" s="11">
        <f>+ROUND(LN(F205/F206),6)</f>
        <v>1.2987E-2</v>
      </c>
      <c r="P205" s="11">
        <f>+ROUND(LN(G205/G206),6)</f>
        <v>9.0910000000000001E-3</v>
      </c>
      <c r="Q205" s="11">
        <f>+ROUND(LN(H205/H206),6)</f>
        <v>-2.0101000000000001E-2</v>
      </c>
      <c r="R205" s="3"/>
      <c r="T205" s="5" t="s">
        <v>204</v>
      </c>
      <c r="U205" s="15">
        <f>+ROUND(B$3*EXP(K205),6)</f>
        <v>7.619923</v>
      </c>
      <c r="V205" s="15">
        <f>+ROUND(C$3*EXP(L205),6)</f>
        <v>9.4628569999999996</v>
      </c>
      <c r="W205" s="15">
        <f>+ROUND(D$3*EXP(M205),6)</f>
        <v>2.7630750000000002</v>
      </c>
      <c r="X205" s="15">
        <f>+ROUND(E$3*EXP(N205),6)</f>
        <v>1.140873</v>
      </c>
      <c r="Y205" s="15">
        <f>+ROUND(F$3*EXP(O205),6)</f>
        <v>5.0450970000000002</v>
      </c>
      <c r="Z205" s="15">
        <f>+ROUND(G$3*EXP(P205),6)</f>
        <v>4.3695440000000003</v>
      </c>
      <c r="AA205" s="15">
        <f>+ROUND(H$3*EXP(Q205),6)</f>
        <v>3.3519410000000001</v>
      </c>
      <c r="AB205" s="1">
        <v>203</v>
      </c>
      <c r="AC205" s="5" t="s">
        <v>204</v>
      </c>
      <c r="AD205" s="16">
        <f>+ROUND(Pozisyon!$U$4*('Data - Simülasyon- P&amp;L'!U205-'Data - Simülasyon- P&amp;L'!B$3),6)</f>
        <v>2868.9119999999998</v>
      </c>
      <c r="AE205" s="16">
        <f>+ROUND(Pozisyon!$U$5*('Data - Simülasyon- P&amp;L'!V205-'Data - Simülasyon- P&amp;L'!C$3),6)</f>
        <v>2821.4250000000002</v>
      </c>
      <c r="AF205" s="16">
        <f>+ROUND(Pozisyon!$U$6*('Data - Simülasyon- P&amp;L'!W205-'Data - Simülasyon- P&amp;L'!D$3),6)</f>
        <v>-129.84375</v>
      </c>
      <c r="AG205" s="16">
        <f>+ROUND(Pozisyon!$U$7*('Data - Simülasyon- P&amp;L'!X205-'Data - Simülasyon- P&amp;L'!E$3),6)</f>
        <v>-3221.8310000000001</v>
      </c>
      <c r="AH205" s="16">
        <f>+ROUND(Pozisyon!$U$8*('Data - Simülasyon- P&amp;L'!Y205-'Data - Simülasyon- P&amp;L'!F$3),6)</f>
        <v>13930.758</v>
      </c>
      <c r="AI205" s="16">
        <f>+ROUND(Pozisyon!$U$9*('Data - Simülasyon- P&amp;L'!Z205-'Data - Simülasyon- P&amp;L'!G$3),6)</f>
        <v>11902.744000000001</v>
      </c>
      <c r="AJ205" s="16">
        <f>+ROUND(Pozisyon!$U$10*('Data - Simülasyon- P&amp;L'!AA205-'Data - Simülasyon- P&amp;L'!H$3),6)</f>
        <v>-23888.708999999999</v>
      </c>
      <c r="AK205" s="16">
        <f>+SUM(AD205:AJ205)</f>
        <v>4283.4552500000027</v>
      </c>
      <c r="AL205" s="16">
        <f t="shared" si="0"/>
        <v>66249.159</v>
      </c>
    </row>
    <row r="206" spans="1:38" ht="15" thickBot="1" x14ac:dyDescent="0.35">
      <c r="A206" s="5" t="s">
        <v>487</v>
      </c>
      <c r="B206" s="6">
        <v>7.63</v>
      </c>
      <c r="C206" s="5">
        <v>10.77</v>
      </c>
      <c r="D206" s="6">
        <v>4</v>
      </c>
      <c r="E206" s="5">
        <v>1.26</v>
      </c>
      <c r="F206" s="5">
        <v>7.65</v>
      </c>
      <c r="G206" s="5">
        <v>4.38</v>
      </c>
      <c r="H206" s="5">
        <v>4.0199999999999996</v>
      </c>
      <c r="J206" s="5" t="s">
        <v>487</v>
      </c>
      <c r="K206" s="11">
        <f>+ROUND(LN(B206/B207),6)</f>
        <v>5.2560000000000003E-3</v>
      </c>
      <c r="L206" s="11">
        <f>+ROUND(LN(C206/C207),6)</f>
        <v>6.5209999999999999E-3</v>
      </c>
      <c r="M206" s="11">
        <f>+ROUND(LN(D206/D207),6)</f>
        <v>5.0130000000000001E-3</v>
      </c>
      <c r="N206" s="11">
        <f>+ROUND(LN(E206/E207),6)</f>
        <v>2.4098000000000001E-2</v>
      </c>
      <c r="O206" s="11">
        <f>+ROUND(LN(F206/F207),6)</f>
        <v>1.3079999999999999E-3</v>
      </c>
      <c r="P206" s="11">
        <f>+ROUND(LN(G206/G207),6)</f>
        <v>2.2859999999999998E-3</v>
      </c>
      <c r="Q206" s="11">
        <f>+ROUND(LN(H206/H207),6)</f>
        <v>0.01</v>
      </c>
      <c r="R206" s="3"/>
      <c r="T206" s="5" t="s">
        <v>205</v>
      </c>
      <c r="U206" s="15">
        <f>+ROUND(B$3*EXP(K206),6)</f>
        <v>7.6400509999999997</v>
      </c>
      <c r="V206" s="15">
        <f>+ROUND(C$3*EXP(L206),6)</f>
        <v>9.4111709999999995</v>
      </c>
      <c r="W206" s="15">
        <f>+ROUND(D$3*EXP(M206),6)</f>
        <v>2.7839209999999999</v>
      </c>
      <c r="X206" s="15">
        <f>+ROUND(E$3*EXP(N206),6)</f>
        <v>1.1780489999999999</v>
      </c>
      <c r="Y206" s="15">
        <f>+ROUND(F$3*EXP(O206),6)</f>
        <v>4.9865180000000002</v>
      </c>
      <c r="Z206" s="15">
        <f>+ROUND(G$3*EXP(P206),6)</f>
        <v>4.3399099999999997</v>
      </c>
      <c r="AA206" s="15">
        <f>+ROUND(H$3*EXP(Q206),6)</f>
        <v>3.4543720000000002</v>
      </c>
      <c r="AB206" s="1">
        <v>204</v>
      </c>
      <c r="AC206" s="5" t="s">
        <v>205</v>
      </c>
      <c r="AD206" s="16">
        <f>+ROUND(Pozisyon!$U$4*('Data - Simülasyon- P&amp;L'!U206-'Data - Simülasyon- P&amp;L'!B$3),6)</f>
        <v>5767.3440000000001</v>
      </c>
      <c r="AE206" s="16">
        <f>+ROUND(Pozisyon!$U$5*('Data - Simülasyon- P&amp;L'!V206-'Data - Simülasyon- P&amp;L'!C$3),6)</f>
        <v>1529.2750000000001</v>
      </c>
      <c r="AF206" s="16">
        <f>+ROUND(Pozisyon!$U$6*('Data - Simülasyon- P&amp;L'!W206-'Data - Simülasyon- P&amp;L'!D$3),6)</f>
        <v>261.01875000000001</v>
      </c>
      <c r="AG206" s="16">
        <f>+ROUND(Pozisyon!$U$7*('Data - Simülasyon- P&amp;L'!X206-'Data - Simülasyon- P&amp;L'!E$3),6)</f>
        <v>9901.2970000000005</v>
      </c>
      <c r="AH206" s="16">
        <f>+ROUND(Pozisyon!$U$8*('Data - Simülasyon- P&amp;L'!Y206-'Data - Simülasyon- P&amp;L'!F$3),6)</f>
        <v>1394.8520000000001</v>
      </c>
      <c r="AI206" s="16">
        <f>+ROUND(Pozisyon!$U$9*('Data - Simülasyon- P&amp;L'!Z206-'Data - Simülasyon- P&amp;L'!G$3),6)</f>
        <v>2982.91</v>
      </c>
      <c r="AJ206" s="16">
        <f>+ROUND(Pozisyon!$U$10*('Data - Simülasyon- P&amp;L'!AA206-'Data - Simülasyon- P&amp;L'!H$3),6)</f>
        <v>12064.572</v>
      </c>
      <c r="AK206" s="16">
        <f>+SUM(AD206:AJ206)</f>
        <v>33901.268750000003</v>
      </c>
      <c r="AL206" s="16">
        <f t="shared" si="0"/>
        <v>66618.705249999999</v>
      </c>
    </row>
    <row r="207" spans="1:38" ht="15" thickBot="1" x14ac:dyDescent="0.35">
      <c r="A207" s="5" t="s">
        <v>488</v>
      </c>
      <c r="B207" s="6">
        <v>7.59</v>
      </c>
      <c r="C207" s="5">
        <v>10.7</v>
      </c>
      <c r="D207" s="6">
        <v>3.98</v>
      </c>
      <c r="E207" s="5">
        <v>1.23</v>
      </c>
      <c r="F207" s="5">
        <v>7.64</v>
      </c>
      <c r="G207" s="5">
        <v>4.37</v>
      </c>
      <c r="H207" s="5">
        <v>3.98</v>
      </c>
      <c r="J207" s="5" t="s">
        <v>488</v>
      </c>
      <c r="K207" s="11">
        <f>+ROUND(LN(B207/B208),6)</f>
        <v>9.2650000000000007E-3</v>
      </c>
      <c r="L207" s="11">
        <f>+ROUND(LN(C207/C208),6)</f>
        <v>6.5640000000000004E-3</v>
      </c>
      <c r="M207" s="11">
        <f>+ROUND(LN(D207/D208),6)</f>
        <v>-7.509E-3</v>
      </c>
      <c r="N207" s="11">
        <f>+ROUND(LN(E207/E208),6)</f>
        <v>-1.6129000000000001E-2</v>
      </c>
      <c r="O207" s="11">
        <f>+ROUND(LN(F207/F208),6)</f>
        <v>6.5659999999999998E-3</v>
      </c>
      <c r="P207" s="11">
        <f>+ROUND(LN(G207/G208),6)</f>
        <v>2.0809999999999999E-2</v>
      </c>
      <c r="Q207" s="11">
        <f>+ROUND(LN(H207/H208),6)</f>
        <v>2.5447000000000001E-2</v>
      </c>
      <c r="R207" s="3"/>
      <c r="T207" s="5" t="s">
        <v>206</v>
      </c>
      <c r="U207" s="15">
        <f>+ROUND(B$3*EXP(K207),6)</f>
        <v>7.6707409999999996</v>
      </c>
      <c r="V207" s="15">
        <f>+ROUND(C$3*EXP(L207),6)</f>
        <v>9.4115749999999991</v>
      </c>
      <c r="W207" s="15">
        <f>+ROUND(D$3*EXP(M207),6)</f>
        <v>2.7492779999999999</v>
      </c>
      <c r="X207" s="15">
        <f>+ROUND(E$3*EXP(N207),6)</f>
        <v>1.1315999999999999</v>
      </c>
      <c r="Y207" s="15">
        <f>+ROUND(F$3*EXP(O207),6)</f>
        <v>5.0128060000000003</v>
      </c>
      <c r="Z207" s="15">
        <f>+ROUND(G$3*EXP(P207),6)</f>
        <v>4.4210510000000003</v>
      </c>
      <c r="AA207" s="15">
        <f>+ROUND(H$3*EXP(Q207),6)</f>
        <v>3.508146</v>
      </c>
      <c r="AB207" s="1">
        <v>205</v>
      </c>
      <c r="AC207" s="5" t="s">
        <v>206</v>
      </c>
      <c r="AD207" s="16">
        <f>+ROUND(Pozisyon!$U$4*('Data - Simülasyon- P&amp;L'!U207-'Data - Simülasyon- P&amp;L'!B$3),6)</f>
        <v>10186.704</v>
      </c>
      <c r="AE207" s="16">
        <f>+ROUND(Pozisyon!$U$5*('Data - Simülasyon- P&amp;L'!V207-'Data - Simülasyon- P&amp;L'!C$3),6)</f>
        <v>1539.375</v>
      </c>
      <c r="AF207" s="16">
        <f>+ROUND(Pozisyon!$U$6*('Data - Simülasyon- P&amp;L'!W207-'Data - Simülasyon- P&amp;L'!D$3),6)</f>
        <v>-388.53750000000002</v>
      </c>
      <c r="AG207" s="16">
        <f>+ROUND(Pozisyon!$U$7*('Data - Simülasyon- P&amp;L'!X207-'Data - Simülasyon- P&amp;L'!E$3),6)</f>
        <v>-6495.2</v>
      </c>
      <c r="AH207" s="16">
        <f>+ROUND(Pozisyon!$U$8*('Data - Simülasyon- P&amp;L'!Y207-'Data - Simülasyon- P&amp;L'!F$3),6)</f>
        <v>7020.4840000000004</v>
      </c>
      <c r="AI207" s="16">
        <f>+ROUND(Pozisyon!$U$9*('Data - Simülasyon- P&amp;L'!Z207-'Data - Simülasyon- P&amp;L'!G$3),6)</f>
        <v>27406.350999999999</v>
      </c>
      <c r="AJ207" s="16">
        <f>+ROUND(Pozisyon!$U$10*('Data - Simülasyon- P&amp;L'!AA207-'Data - Simülasyon- P&amp;L'!H$3),6)</f>
        <v>30939.245999999999</v>
      </c>
      <c r="AK207" s="16">
        <f>+SUM(AD207:AJ207)</f>
        <v>70208.422500000001</v>
      </c>
      <c r="AL207" s="16">
        <f t="shared" si="0"/>
        <v>67425.366500000004</v>
      </c>
    </row>
    <row r="208" spans="1:38" ht="15" thickBot="1" x14ac:dyDescent="0.35">
      <c r="A208" s="5" t="s">
        <v>489</v>
      </c>
      <c r="B208" s="6">
        <v>7.52</v>
      </c>
      <c r="C208" s="5">
        <v>10.63</v>
      </c>
      <c r="D208" s="6">
        <v>4.01</v>
      </c>
      <c r="E208" s="5">
        <v>1.25</v>
      </c>
      <c r="F208" s="5">
        <v>7.59</v>
      </c>
      <c r="G208" s="5">
        <v>4.28</v>
      </c>
      <c r="H208" s="5">
        <v>3.88</v>
      </c>
      <c r="J208" s="5" t="s">
        <v>489</v>
      </c>
      <c r="K208" s="11">
        <f>+ROUND(LN(B208/B209),6)</f>
        <v>3.9969999999999997E-3</v>
      </c>
      <c r="L208" s="11">
        <f>+ROUND(LN(C208/C209),6)</f>
        <v>2.0913000000000001E-2</v>
      </c>
      <c r="M208" s="11">
        <f>+ROUND(LN(D208/D209),6)</f>
        <v>2.4970000000000001E-3</v>
      </c>
      <c r="N208" s="11">
        <f>+ROUND(LN(E208/E209),6)</f>
        <v>0</v>
      </c>
      <c r="O208" s="11">
        <f>+ROUND(LN(F208/F209),6)</f>
        <v>-5.2560000000000003E-3</v>
      </c>
      <c r="P208" s="11">
        <f>+ROUND(LN(G208/G209),6)</f>
        <v>7.0340000000000003E-3</v>
      </c>
      <c r="Q208" s="11">
        <f>+ROUND(LN(H208/H209),6)</f>
        <v>5.1679999999999999E-3</v>
      </c>
      <c r="R208" s="3"/>
      <c r="T208" s="5" t="s">
        <v>207</v>
      </c>
      <c r="U208" s="15">
        <f>+ROUND(B$3*EXP(K208),6)</f>
        <v>7.6304379999999998</v>
      </c>
      <c r="V208" s="15">
        <f>+ROUND(C$3*EXP(L208),6)</f>
        <v>9.5475960000000004</v>
      </c>
      <c r="W208" s="15">
        <f>+ROUND(D$3*EXP(M208),6)</f>
        <v>2.7769249999999999</v>
      </c>
      <c r="X208" s="15">
        <f>+ROUND(E$3*EXP(N208),6)</f>
        <v>1.1499999999999999</v>
      </c>
      <c r="Y208" s="15">
        <f>+ROUND(F$3*EXP(O208),6)</f>
        <v>4.953894</v>
      </c>
      <c r="Z208" s="15">
        <f>+ROUND(G$3*EXP(P208),6)</f>
        <v>4.3605650000000002</v>
      </c>
      <c r="AA208" s="15">
        <f>+ROUND(H$3*EXP(Q208),6)</f>
        <v>3.4377200000000001</v>
      </c>
      <c r="AB208" s="1">
        <v>206</v>
      </c>
      <c r="AC208" s="5" t="s">
        <v>207</v>
      </c>
      <c r="AD208" s="16">
        <f>+ROUND(Pozisyon!$U$4*('Data - Simülasyon- P&amp;L'!U208-'Data - Simülasyon- P&amp;L'!B$3),6)</f>
        <v>4383.0720000000001</v>
      </c>
      <c r="AE208" s="16">
        <f>+ROUND(Pozisyon!$U$5*('Data - Simülasyon- P&amp;L'!V208-'Data - Simülasyon- P&amp;L'!C$3),6)</f>
        <v>4939.8999999999996</v>
      </c>
      <c r="AF208" s="16">
        <f>+ROUND(Pozisyon!$U$6*('Data - Simülasyon- P&amp;L'!W208-'Data - Simülasyon- P&amp;L'!D$3),6)</f>
        <v>129.84375</v>
      </c>
      <c r="AG208" s="16">
        <f>+ROUND(Pozisyon!$U$7*('Data - Simülasyon- P&amp;L'!X208-'Data - Simülasyon- P&amp;L'!E$3),6)</f>
        <v>0</v>
      </c>
      <c r="AH208" s="16">
        <f>+ROUND(Pozisyon!$U$8*('Data - Simülasyon- P&amp;L'!Y208-'Data - Simülasyon- P&amp;L'!F$3),6)</f>
        <v>-5586.6840000000002</v>
      </c>
      <c r="AI208" s="16">
        <f>+ROUND(Pozisyon!$U$9*('Data - Simülasyon- P&amp;L'!Z208-'Data - Simülasyon- P&amp;L'!G$3),6)</f>
        <v>9200.0650000000005</v>
      </c>
      <c r="AJ208" s="16">
        <f>+ROUND(Pozisyon!$U$10*('Data - Simülasyon- P&amp;L'!AA208-'Data - Simülasyon- P&amp;L'!H$3),6)</f>
        <v>6219.72</v>
      </c>
      <c r="AK208" s="16">
        <f>+SUM(AD208:AJ208)</f>
        <v>19285.91675</v>
      </c>
      <c r="AL208" s="16">
        <f t="shared" si="0"/>
        <v>69165.078750000001</v>
      </c>
    </row>
    <row r="209" spans="1:38" ht="15" thickBot="1" x14ac:dyDescent="0.35">
      <c r="A209" s="5" t="s">
        <v>490</v>
      </c>
      <c r="B209" s="6">
        <v>7.49</v>
      </c>
      <c r="C209" s="5">
        <v>10.41</v>
      </c>
      <c r="D209" s="6">
        <v>4</v>
      </c>
      <c r="E209" s="5">
        <v>1.25</v>
      </c>
      <c r="F209" s="5">
        <v>7.63</v>
      </c>
      <c r="G209" s="5">
        <v>4.25</v>
      </c>
      <c r="H209" s="5">
        <v>3.86</v>
      </c>
      <c r="J209" s="5" t="s">
        <v>490</v>
      </c>
      <c r="K209" s="11">
        <f>+ROUND(LN(B209/B210),6)</f>
        <v>4.0130000000000001E-3</v>
      </c>
      <c r="L209" s="11">
        <f>+ROUND(LN(C209/C210),6)</f>
        <v>4.8149999999999998E-3</v>
      </c>
      <c r="M209" s="11">
        <f>+ROUND(LN(D209/D210),6)</f>
        <v>-9.9500000000000005E-3</v>
      </c>
      <c r="N209" s="11">
        <f>+ROUND(LN(E209/E210),6)</f>
        <v>8.3381999999999998E-2</v>
      </c>
      <c r="O209" s="11">
        <f>+ROUND(LN(F209/F210),6)</f>
        <v>2.6250000000000002E-3</v>
      </c>
      <c r="P209" s="11">
        <f>+ROUND(LN(G209/G210),6)</f>
        <v>-2.3500000000000001E-3</v>
      </c>
      <c r="Q209" s="11">
        <f>+ROUND(LN(H209/H210),6)</f>
        <v>2.594E-3</v>
      </c>
      <c r="R209" s="3"/>
      <c r="T209" s="5" t="s">
        <v>208</v>
      </c>
      <c r="U209" s="15">
        <f>+ROUND(B$3*EXP(K209),6)</f>
        <v>7.63056</v>
      </c>
      <c r="V209" s="15">
        <f>+ROUND(C$3*EXP(L209),6)</f>
        <v>9.3951290000000007</v>
      </c>
      <c r="W209" s="15">
        <f>+ROUND(D$3*EXP(M209),6)</f>
        <v>2.742575</v>
      </c>
      <c r="X209" s="15">
        <f>+ROUND(E$3*EXP(N209),6)</f>
        <v>1.25</v>
      </c>
      <c r="Y209" s="15">
        <f>+ROUND(F$3*EXP(O209),6)</f>
        <v>4.9930899999999996</v>
      </c>
      <c r="Z209" s="15">
        <f>+ROUND(G$3*EXP(P209),6)</f>
        <v>4.3198359999999996</v>
      </c>
      <c r="AA209" s="15">
        <f>+ROUND(H$3*EXP(Q209),6)</f>
        <v>3.4288829999999999</v>
      </c>
      <c r="AB209" s="1">
        <v>207</v>
      </c>
      <c r="AC209" s="5" t="s">
        <v>208</v>
      </c>
      <c r="AD209" s="16">
        <f>+ROUND(Pozisyon!$U$4*('Data - Simülasyon- P&amp;L'!U209-'Data - Simülasyon- P&amp;L'!B$3),6)</f>
        <v>4400.6400000000003</v>
      </c>
      <c r="AE209" s="16">
        <f>+ROUND(Pozisyon!$U$5*('Data - Simülasyon- P&amp;L'!V209-'Data - Simülasyon- P&amp;L'!C$3),6)</f>
        <v>1128.2249999999999</v>
      </c>
      <c r="AF209" s="16">
        <f>+ROUND(Pozisyon!$U$6*('Data - Simülasyon- P&amp;L'!W209-'Data - Simülasyon- P&amp;L'!D$3),6)</f>
        <v>-514.21875</v>
      </c>
      <c r="AG209" s="16">
        <f>+ROUND(Pozisyon!$U$7*('Data - Simülasyon- P&amp;L'!X209-'Data - Simülasyon- P&amp;L'!E$3),6)</f>
        <v>35300</v>
      </c>
      <c r="AH209" s="16">
        <f>+ROUND(Pozisyon!$U$8*('Data - Simülasyon- P&amp;L'!Y209-'Data - Simülasyon- P&amp;L'!F$3),6)</f>
        <v>2801.26</v>
      </c>
      <c r="AI209" s="16">
        <f>+ROUND(Pozisyon!$U$9*('Data - Simülasyon- P&amp;L'!Z209-'Data - Simülasyon- P&amp;L'!G$3),6)</f>
        <v>-3059.364</v>
      </c>
      <c r="AJ209" s="16">
        <f>+ROUND(Pozisyon!$U$10*('Data - Simülasyon- P&amp;L'!AA209-'Data - Simülasyon- P&amp;L'!H$3),6)</f>
        <v>3117.933</v>
      </c>
      <c r="AK209" s="16">
        <f>+SUM(AD209:AJ209)</f>
        <v>43174.475249999996</v>
      </c>
      <c r="AL209" s="16">
        <f t="shared" si="0"/>
        <v>69169.497000000003</v>
      </c>
    </row>
    <row r="210" spans="1:38" ht="15" thickBot="1" x14ac:dyDescent="0.35">
      <c r="A210" s="5" t="s">
        <v>491</v>
      </c>
      <c r="B210" s="6">
        <v>7.46</v>
      </c>
      <c r="C210" s="5">
        <v>10.36</v>
      </c>
      <c r="D210" s="6">
        <v>4.04</v>
      </c>
      <c r="E210" s="5">
        <v>1.1499999999999999</v>
      </c>
      <c r="F210" s="5">
        <v>7.61</v>
      </c>
      <c r="G210" s="5">
        <v>4.26</v>
      </c>
      <c r="H210" s="5">
        <v>3.85</v>
      </c>
      <c r="J210" s="5" t="s">
        <v>491</v>
      </c>
      <c r="K210" s="11">
        <f>+ROUND(LN(B210/B211),6)</f>
        <v>4.0299999999999997E-3</v>
      </c>
      <c r="L210" s="11">
        <f>+ROUND(LN(C210/C211),6)</f>
        <v>6.7799999999999996E-3</v>
      </c>
      <c r="M210" s="11">
        <f>+ROUND(LN(D210/D211),6)</f>
        <v>-2.4719999999999998E-3</v>
      </c>
      <c r="N210" s="11">
        <f>+ROUND(LN(E210/E211),6)</f>
        <v>0</v>
      </c>
      <c r="O210" s="11">
        <f>+ROUND(LN(F210/F211),6)</f>
        <v>2.7983000000000001E-2</v>
      </c>
      <c r="P210" s="11">
        <f>+ROUND(LN(G210/G211),6)</f>
        <v>4.7060000000000001E-3</v>
      </c>
      <c r="Q210" s="11">
        <f>+ROUND(LN(H210/H211),6)</f>
        <v>0</v>
      </c>
      <c r="R210" s="3"/>
      <c r="T210" s="5" t="s">
        <v>209</v>
      </c>
      <c r="U210" s="15">
        <f>+ROUND(B$3*EXP(K210),6)</f>
        <v>7.6306900000000004</v>
      </c>
      <c r="V210" s="15">
        <f>+ROUND(C$3*EXP(L210),6)</f>
        <v>9.413608</v>
      </c>
      <c r="W210" s="15">
        <f>+ROUND(D$3*EXP(M210),6)</f>
        <v>2.7631610000000002</v>
      </c>
      <c r="X210" s="15">
        <f>+ROUND(E$3*EXP(N210),6)</f>
        <v>1.1499999999999999</v>
      </c>
      <c r="Y210" s="15">
        <f>+ROUND(F$3*EXP(O210),6)</f>
        <v>5.1213230000000003</v>
      </c>
      <c r="Z210" s="15">
        <f>+ROUND(G$3*EXP(P210),6)</f>
        <v>4.3504250000000004</v>
      </c>
      <c r="AA210" s="15">
        <f>+ROUND(H$3*EXP(Q210),6)</f>
        <v>3.42</v>
      </c>
      <c r="AB210" s="1">
        <v>208</v>
      </c>
      <c r="AC210" s="5" t="s">
        <v>209</v>
      </c>
      <c r="AD210" s="16">
        <f>+ROUND(Pozisyon!$U$4*('Data - Simülasyon- P&amp;L'!U210-'Data - Simülasyon- P&amp;L'!B$3),6)</f>
        <v>4419.3599999999997</v>
      </c>
      <c r="AE210" s="16">
        <f>+ROUND(Pozisyon!$U$5*('Data - Simülasyon- P&amp;L'!V210-'Data - Simülasyon- P&amp;L'!C$3),6)</f>
        <v>1590.2</v>
      </c>
      <c r="AF210" s="16">
        <f>+ROUND(Pozisyon!$U$6*('Data - Simülasyon- P&amp;L'!W210-'Data - Simülasyon- P&amp;L'!D$3),6)</f>
        <v>-128.23124999999999</v>
      </c>
      <c r="AG210" s="16">
        <f>+ROUND(Pozisyon!$U$7*('Data - Simülasyon- P&amp;L'!X210-'Data - Simülasyon- P&amp;L'!E$3),6)</f>
        <v>0</v>
      </c>
      <c r="AH210" s="16">
        <f>+ROUND(Pozisyon!$U$8*('Data - Simülasyon- P&amp;L'!Y210-'Data - Simülasyon- P&amp;L'!F$3),6)</f>
        <v>30243.121999999999</v>
      </c>
      <c r="AI210" s="16">
        <f>+ROUND(Pozisyon!$U$9*('Data - Simülasyon- P&amp;L'!Z210-'Data - Simülasyon- P&amp;L'!G$3),6)</f>
        <v>6147.9250000000002</v>
      </c>
      <c r="AJ210" s="16">
        <f>+ROUND(Pozisyon!$U$10*('Data - Simülasyon- P&amp;L'!AA210-'Data - Simülasyon- P&amp;L'!H$3),6)</f>
        <v>0</v>
      </c>
      <c r="AK210" s="16">
        <f>+SUM(AD210:AJ210)</f>
        <v>42272.375749999999</v>
      </c>
      <c r="AL210" s="16">
        <f t="shared" si="0"/>
        <v>69377.84825000001</v>
      </c>
    </row>
    <row r="211" spans="1:38" ht="15" thickBot="1" x14ac:dyDescent="0.35">
      <c r="A211" s="5" t="s">
        <v>492</v>
      </c>
      <c r="B211" s="6">
        <v>7.43</v>
      </c>
      <c r="C211" s="5">
        <v>10.29</v>
      </c>
      <c r="D211" s="6">
        <v>4.05</v>
      </c>
      <c r="E211" s="5">
        <v>1.1499999999999999</v>
      </c>
      <c r="F211" s="5">
        <v>7.4</v>
      </c>
      <c r="G211" s="5">
        <v>4.24</v>
      </c>
      <c r="H211" s="5">
        <v>3.85</v>
      </c>
      <c r="J211" s="5" t="s">
        <v>492</v>
      </c>
      <c r="K211" s="11">
        <f>+ROUND(LN(B211/B212),6)</f>
        <v>-9.3769999999999999E-3</v>
      </c>
      <c r="L211" s="11">
        <f>+ROUND(LN(C211/C212),6)</f>
        <v>9.7199999999999999E-4</v>
      </c>
      <c r="M211" s="11">
        <f>+ROUND(LN(D211/D212),6)</f>
        <v>-1.227E-2</v>
      </c>
      <c r="N211" s="11">
        <f>+ROUND(LN(E211/E212),6)</f>
        <v>2.6433000000000002E-2</v>
      </c>
      <c r="O211" s="11">
        <f>+ROUND(LN(F211/F212),6)</f>
        <v>-1.2089000000000001E-2</v>
      </c>
      <c r="P211" s="11">
        <f>+ROUND(LN(G211/G212),6)</f>
        <v>-4.7060000000000001E-3</v>
      </c>
      <c r="Q211" s="11">
        <f>+ROUND(LN(H211/H212),6)</f>
        <v>1.3072E-2</v>
      </c>
      <c r="R211" s="3"/>
      <c r="T211" s="5" t="s">
        <v>210</v>
      </c>
      <c r="U211" s="15">
        <f>+ROUND(B$3*EXP(K211),6)</f>
        <v>7.5290679999999996</v>
      </c>
      <c r="V211" s="15">
        <f>+ROUND(C$3*EXP(L211),6)</f>
        <v>9.3590929999999997</v>
      </c>
      <c r="W211" s="15">
        <f>+ROUND(D$3*EXP(M211),6)</f>
        <v>2.7362199999999999</v>
      </c>
      <c r="X211" s="15">
        <f>+ROUND(E$3*EXP(N211),6)</f>
        <v>1.180803</v>
      </c>
      <c r="Y211" s="15">
        <f>+ROUND(F$3*EXP(O211),6)</f>
        <v>4.9201589999999999</v>
      </c>
      <c r="Z211" s="15">
        <f>+ROUND(G$3*EXP(P211),6)</f>
        <v>4.3096709999999998</v>
      </c>
      <c r="AA211" s="15">
        <f>+ROUND(H$3*EXP(Q211),6)</f>
        <v>3.4649999999999999</v>
      </c>
      <c r="AB211" s="1">
        <v>209</v>
      </c>
      <c r="AC211" s="5" t="s">
        <v>210</v>
      </c>
      <c r="AD211" s="16">
        <f>+ROUND(Pozisyon!$U$4*('Data - Simülasyon- P&amp;L'!U211-'Data - Simülasyon- P&amp;L'!B$3),6)</f>
        <v>-10214.208000000001</v>
      </c>
      <c r="AE211" s="16">
        <f>+ROUND(Pozisyon!$U$5*('Data - Simülasyon- P&amp;L'!V211-'Data - Simülasyon- P&amp;L'!C$3),6)</f>
        <v>227.32499999999999</v>
      </c>
      <c r="AF211" s="16">
        <f>+ROUND(Pozisyon!$U$6*('Data - Simülasyon- P&amp;L'!W211-'Data - Simülasyon- P&amp;L'!D$3),6)</f>
        <v>-633.375</v>
      </c>
      <c r="AG211" s="16">
        <f>+ROUND(Pozisyon!$U$7*('Data - Simülasyon- P&amp;L'!X211-'Data - Simülasyon- P&amp;L'!E$3),6)</f>
        <v>10873.459000000001</v>
      </c>
      <c r="AH211" s="16">
        <f>+ROUND(Pozisyon!$U$8*('Data - Simülasyon- P&amp;L'!Y211-'Data - Simülasyon- P&amp;L'!F$3),6)</f>
        <v>-12805.974</v>
      </c>
      <c r="AI211" s="16">
        <f>+ROUND(Pozisyon!$U$9*('Data - Simülasyon- P&amp;L'!Z211-'Data - Simülasyon- P&amp;L'!G$3),6)</f>
        <v>-6119.0290000000005</v>
      </c>
      <c r="AJ211" s="16">
        <f>+ROUND(Pozisyon!$U$10*('Data - Simülasyon- P&amp;L'!AA211-'Data - Simülasyon- P&amp;L'!H$3),6)</f>
        <v>15795</v>
      </c>
      <c r="AK211" s="16">
        <f>+SUM(AD211:AJ211)</f>
        <v>-2876.8019999999997</v>
      </c>
      <c r="AL211" s="16">
        <f t="shared" si="0"/>
        <v>70208.422500000001</v>
      </c>
    </row>
    <row r="212" spans="1:38" ht="15" thickBot="1" x14ac:dyDescent="0.35">
      <c r="A212" s="5" t="s">
        <v>493</v>
      </c>
      <c r="B212" s="6">
        <v>7.5</v>
      </c>
      <c r="C212" s="5">
        <v>10.28</v>
      </c>
      <c r="D212" s="6">
        <v>4.0999999999999996</v>
      </c>
      <c r="E212" s="5">
        <v>1.1200000000000001</v>
      </c>
      <c r="F212" s="5">
        <v>7.49</v>
      </c>
      <c r="G212" s="5">
        <v>4.26</v>
      </c>
      <c r="H212" s="5">
        <v>3.8</v>
      </c>
      <c r="J212" s="5" t="s">
        <v>493</v>
      </c>
      <c r="K212" s="11">
        <f>+ROUND(LN(B212/B213),6)</f>
        <v>2.2928E-2</v>
      </c>
      <c r="L212" s="11">
        <f>+ROUND(LN(C212/C213),6)</f>
        <v>2.2627999999999999E-2</v>
      </c>
      <c r="M212" s="11">
        <f>+ROUND(LN(D212/D213),6)</f>
        <v>0</v>
      </c>
      <c r="N212" s="11">
        <f>+ROUND(LN(E212/E213),6)</f>
        <v>8.9689999999999995E-3</v>
      </c>
      <c r="O212" s="11">
        <f>+ROUND(LN(F212/F213),6)</f>
        <v>8.0429999999999998E-3</v>
      </c>
      <c r="P212" s="11">
        <f>+ROUND(LN(G212/G213),6)</f>
        <v>2.8573000000000001E-2</v>
      </c>
      <c r="Q212" s="11">
        <f>+ROUND(LN(H212/H213),6)</f>
        <v>1.8592999999999998E-2</v>
      </c>
      <c r="R212" s="3"/>
      <c r="T212" s="5" t="s">
        <v>211</v>
      </c>
      <c r="U212" s="15">
        <f>+ROUND(B$3*EXP(K212),6)</f>
        <v>7.7762659999999997</v>
      </c>
      <c r="V212" s="15">
        <f>+ROUND(C$3*EXP(L212),6)</f>
        <v>9.5639839999999996</v>
      </c>
      <c r="W212" s="15">
        <f>+ROUND(D$3*EXP(M212),6)</f>
        <v>2.77</v>
      </c>
      <c r="X212" s="15">
        <f>+ROUND(E$3*EXP(N212),6)</f>
        <v>1.160361</v>
      </c>
      <c r="Y212" s="15">
        <f>+ROUND(F$3*EXP(O212),6)</f>
        <v>5.0202159999999996</v>
      </c>
      <c r="Z212" s="15">
        <f>+ROUND(G$3*EXP(P212),6)</f>
        <v>4.4555059999999997</v>
      </c>
      <c r="AA212" s="15">
        <f>+ROUND(H$3*EXP(Q212),6)</f>
        <v>3.4841829999999998</v>
      </c>
      <c r="AB212" s="1">
        <v>210</v>
      </c>
      <c r="AC212" s="5" t="s">
        <v>211</v>
      </c>
      <c r="AD212" s="16">
        <f>+ROUND(Pozisyon!$U$4*('Data - Simülasyon- P&amp;L'!U212-'Data - Simülasyon- P&amp;L'!B$3),6)</f>
        <v>25382.304</v>
      </c>
      <c r="AE212" s="16">
        <f>+ROUND(Pozisyon!$U$5*('Data - Simülasyon- P&amp;L'!V212-'Data - Simülasyon- P&amp;L'!C$3),6)</f>
        <v>5349.6</v>
      </c>
      <c r="AF212" s="16">
        <f>+ROUND(Pozisyon!$U$6*('Data - Simülasyon- P&amp;L'!W212-'Data - Simülasyon- P&amp;L'!D$3),6)</f>
        <v>0</v>
      </c>
      <c r="AG212" s="16">
        <f>+ROUND(Pozisyon!$U$7*('Data - Simülasyon- P&amp;L'!X212-'Data - Simülasyon- P&amp;L'!E$3),6)</f>
        <v>3657.433</v>
      </c>
      <c r="AH212" s="16">
        <f>+ROUND(Pozisyon!$U$8*('Data - Simülasyon- P&amp;L'!Y212-'Data - Simülasyon- P&amp;L'!F$3),6)</f>
        <v>8606.2240000000002</v>
      </c>
      <c r="AI212" s="16">
        <f>+ROUND(Pozisyon!$U$9*('Data - Simülasyon- P&amp;L'!Z212-'Data - Simülasyon- P&amp;L'!G$3),6)</f>
        <v>37777.305999999997</v>
      </c>
      <c r="AJ212" s="16">
        <f>+ROUND(Pozisyon!$U$10*('Data - Simülasyon- P&amp;L'!AA212-'Data - Simülasyon- P&amp;L'!H$3),6)</f>
        <v>22528.233</v>
      </c>
      <c r="AK212" s="16">
        <f>+SUM(AD212:AJ212)</f>
        <v>103301.1</v>
      </c>
      <c r="AL212" s="16">
        <f t="shared" si="0"/>
        <v>71039.282500000001</v>
      </c>
    </row>
    <row r="213" spans="1:38" ht="15" thickBot="1" x14ac:dyDescent="0.35">
      <c r="A213" s="5" t="s">
        <v>494</v>
      </c>
      <c r="B213" s="6">
        <v>7.33</v>
      </c>
      <c r="C213" s="5">
        <v>10.050000000000001</v>
      </c>
      <c r="D213" s="6">
        <v>4.0999999999999996</v>
      </c>
      <c r="E213" s="5">
        <v>1.1100000000000001</v>
      </c>
      <c r="F213" s="5">
        <v>7.43</v>
      </c>
      <c r="G213" s="5">
        <v>4.1399999999999997</v>
      </c>
      <c r="H213" s="5">
        <v>3.73</v>
      </c>
      <c r="J213" s="5" t="s">
        <v>494</v>
      </c>
      <c r="K213" s="11">
        <f>+ROUND(LN(B213/B214),6)</f>
        <v>0</v>
      </c>
      <c r="L213" s="11">
        <f>+ROUND(LN(C213/C214),6)</f>
        <v>1.6048E-2</v>
      </c>
      <c r="M213" s="11">
        <f>+ROUND(LN(D213/D214),6)</f>
        <v>9.7263000000000002E-2</v>
      </c>
      <c r="N213" s="11">
        <f>+ROUND(LN(E213/E214),6)</f>
        <v>4.6091E-2</v>
      </c>
      <c r="O213" s="11">
        <f>+ROUND(LN(F213/F214),6)</f>
        <v>4.1215000000000002E-2</v>
      </c>
      <c r="P213" s="11">
        <f>+ROUND(LN(G213/G214),6)</f>
        <v>2.4451000000000001E-2</v>
      </c>
      <c r="Q213" s="11">
        <f>+ROUND(LN(H213/H214),6)</f>
        <v>5.3759999999999997E-3</v>
      </c>
      <c r="R213" s="3"/>
      <c r="T213" s="5" t="s">
        <v>212</v>
      </c>
      <c r="U213" s="15">
        <f>+ROUND(B$3*EXP(K213),6)</f>
        <v>7.6</v>
      </c>
      <c r="V213" s="15">
        <f>+ROUND(C$3*EXP(L213),6)</f>
        <v>9.5012589999999992</v>
      </c>
      <c r="W213" s="15">
        <f>+ROUND(D$3*EXP(M213),6)</f>
        <v>3.052956</v>
      </c>
      <c r="X213" s="15">
        <f>+ROUND(E$3*EXP(N213),6)</f>
        <v>1.204245</v>
      </c>
      <c r="Y213" s="15">
        <f>+ROUND(F$3*EXP(O213),6)</f>
        <v>5.1895389999999999</v>
      </c>
      <c r="Z213" s="15">
        <f>+ROUND(G$3*EXP(P213),6)</f>
        <v>4.4371780000000003</v>
      </c>
      <c r="AA213" s="15">
        <f>+ROUND(H$3*EXP(Q213),6)</f>
        <v>3.4384350000000001</v>
      </c>
      <c r="AB213" s="1">
        <v>211</v>
      </c>
      <c r="AC213" s="5" t="s">
        <v>212</v>
      </c>
      <c r="AD213" s="16">
        <f>+ROUND(Pozisyon!$U$4*('Data - Simülasyon- P&amp;L'!U213-'Data - Simülasyon- P&amp;L'!B$3),6)</f>
        <v>0</v>
      </c>
      <c r="AE213" s="16">
        <f>+ROUND(Pozisyon!$U$5*('Data - Simülasyon- P&amp;L'!V213-'Data - Simülasyon- P&amp;L'!C$3),6)</f>
        <v>3781.4749999999999</v>
      </c>
      <c r="AF213" s="16">
        <f>+ROUND(Pozisyon!$U$6*('Data - Simülasyon- P&amp;L'!W213-'Data - Simülasyon- P&amp;L'!D$3),6)</f>
        <v>5305.4250000000002</v>
      </c>
      <c r="AG213" s="16">
        <f>+ROUND(Pozisyon!$U$7*('Data - Simülasyon- P&amp;L'!X213-'Data - Simülasyon- P&amp;L'!E$3),6)</f>
        <v>19148.485000000001</v>
      </c>
      <c r="AH213" s="16">
        <f>+ROUND(Pozisyon!$U$8*('Data - Simülasyon- P&amp;L'!Y213-'Data - Simülasyon- P&amp;L'!F$3),6)</f>
        <v>44841.345999999998</v>
      </c>
      <c r="AI213" s="16">
        <f>+ROUND(Pozisyon!$U$9*('Data - Simülasyon- P&amp;L'!Z213-'Data - Simülasyon- P&amp;L'!G$3),6)</f>
        <v>32260.578000000001</v>
      </c>
      <c r="AJ213" s="16">
        <f>+ROUND(Pozisyon!$U$10*('Data - Simülasyon- P&amp;L'!AA213-'Data - Simülasyon- P&amp;L'!H$3),6)</f>
        <v>6470.6850000000004</v>
      </c>
      <c r="AK213" s="16">
        <f>+SUM(AD213:AJ213)</f>
        <v>111807.99400000001</v>
      </c>
      <c r="AL213" s="16">
        <f t="shared" si="0"/>
        <v>72475.273000000001</v>
      </c>
    </row>
    <row r="214" spans="1:38" ht="15" thickBot="1" x14ac:dyDescent="0.35">
      <c r="A214" s="5" t="s">
        <v>495</v>
      </c>
      <c r="B214" s="6">
        <v>7.33</v>
      </c>
      <c r="C214" s="5">
        <v>9.89</v>
      </c>
      <c r="D214" s="6">
        <v>3.72</v>
      </c>
      <c r="E214" s="5">
        <v>1.06</v>
      </c>
      <c r="F214" s="5">
        <v>7.13</v>
      </c>
      <c r="G214" s="5">
        <v>4.04</v>
      </c>
      <c r="H214" s="5">
        <v>3.71</v>
      </c>
      <c r="J214" s="5" t="s">
        <v>495</v>
      </c>
      <c r="K214" s="11">
        <f>+ROUND(LN(B214/B215),6)</f>
        <v>0</v>
      </c>
      <c r="L214" s="11">
        <f>+ROUND(LN(C214/C215),6)</f>
        <v>0</v>
      </c>
      <c r="M214" s="11">
        <f>+ROUND(LN(D214/D215),6)</f>
        <v>0</v>
      </c>
      <c r="N214" s="11">
        <f>+ROUND(LN(E214/E215),6)</f>
        <v>0</v>
      </c>
      <c r="O214" s="11">
        <f>+ROUND(LN(F214/F215),6)</f>
        <v>0</v>
      </c>
      <c r="P214" s="11">
        <f>+ROUND(LN(G214/G215),6)</f>
        <v>0</v>
      </c>
      <c r="Q214" s="11">
        <f>+ROUND(LN(H214/H215),6)</f>
        <v>0</v>
      </c>
      <c r="R214" s="3"/>
      <c r="T214" s="5" t="s">
        <v>213</v>
      </c>
      <c r="U214" s="15">
        <f>+ROUND(B$3*EXP(K214),6)</f>
        <v>7.6</v>
      </c>
      <c r="V214" s="15">
        <f>+ROUND(C$3*EXP(L214),6)</f>
        <v>9.35</v>
      </c>
      <c r="W214" s="15">
        <f>+ROUND(D$3*EXP(M214),6)</f>
        <v>2.77</v>
      </c>
      <c r="X214" s="15">
        <f>+ROUND(E$3*EXP(N214),6)</f>
        <v>1.1499999999999999</v>
      </c>
      <c r="Y214" s="15">
        <f>+ROUND(F$3*EXP(O214),6)</f>
        <v>4.9800000000000004</v>
      </c>
      <c r="Z214" s="15">
        <f>+ROUND(G$3*EXP(P214),6)</f>
        <v>4.33</v>
      </c>
      <c r="AA214" s="15">
        <f>+ROUND(H$3*EXP(Q214),6)</f>
        <v>3.42</v>
      </c>
      <c r="AB214" s="1">
        <v>212</v>
      </c>
      <c r="AC214" s="5" t="s">
        <v>213</v>
      </c>
      <c r="AD214" s="16">
        <f>+ROUND(Pozisyon!$U$4*('Data - Simülasyon- P&amp;L'!U214-'Data - Simülasyon- P&amp;L'!B$3),6)</f>
        <v>0</v>
      </c>
      <c r="AE214" s="16">
        <f>+ROUND(Pozisyon!$U$5*('Data - Simülasyon- P&amp;L'!V214-'Data - Simülasyon- P&amp;L'!C$3),6)</f>
        <v>0</v>
      </c>
      <c r="AF214" s="16">
        <f>+ROUND(Pozisyon!$U$6*('Data - Simülasyon- P&amp;L'!W214-'Data - Simülasyon- P&amp;L'!D$3),6)</f>
        <v>0</v>
      </c>
      <c r="AG214" s="16">
        <f>+ROUND(Pozisyon!$U$7*('Data - Simülasyon- P&amp;L'!X214-'Data - Simülasyon- P&amp;L'!E$3),6)</f>
        <v>0</v>
      </c>
      <c r="AH214" s="16">
        <f>+ROUND(Pozisyon!$U$8*('Data - Simülasyon- P&amp;L'!Y214-'Data - Simülasyon- P&amp;L'!F$3),6)</f>
        <v>0</v>
      </c>
      <c r="AI214" s="16">
        <f>+ROUND(Pozisyon!$U$9*('Data - Simülasyon- P&amp;L'!Z214-'Data - Simülasyon- P&amp;L'!G$3),6)</f>
        <v>0</v>
      </c>
      <c r="AJ214" s="16">
        <f>+ROUND(Pozisyon!$U$10*('Data - Simülasyon- P&amp;L'!AA214-'Data - Simülasyon- P&amp;L'!H$3),6)</f>
        <v>0</v>
      </c>
      <c r="AK214" s="16">
        <f>+SUM(AD214:AJ214)</f>
        <v>0</v>
      </c>
      <c r="AL214" s="16">
        <f t="shared" si="0"/>
        <v>73287.962250000011</v>
      </c>
    </row>
    <row r="215" spans="1:38" ht="15" thickBot="1" x14ac:dyDescent="0.35">
      <c r="A215" s="5" t="s">
        <v>496</v>
      </c>
      <c r="B215" s="6">
        <v>7.33</v>
      </c>
      <c r="C215" s="5">
        <v>9.89</v>
      </c>
      <c r="D215" s="6">
        <v>3.72</v>
      </c>
      <c r="E215" s="5">
        <v>1.06</v>
      </c>
      <c r="F215" s="5">
        <v>7.13</v>
      </c>
      <c r="G215" s="5">
        <v>4.04</v>
      </c>
      <c r="H215" s="5">
        <v>3.71</v>
      </c>
      <c r="J215" s="5" t="s">
        <v>496</v>
      </c>
      <c r="K215" s="11">
        <f>+ROUND(LN(B215/B216),6)</f>
        <v>-4.084E-3</v>
      </c>
      <c r="L215" s="11">
        <f>+ROUND(LN(C215/C216),6)</f>
        <v>6.0850000000000001E-3</v>
      </c>
      <c r="M215" s="11">
        <f>+ROUND(LN(D215/D216),6)</f>
        <v>-7.2570999999999997E-2</v>
      </c>
      <c r="N215" s="11">
        <f>+ROUND(LN(E215/E216),6)</f>
        <v>0</v>
      </c>
      <c r="O215" s="11">
        <f>+ROUND(LN(F215/F216),6)</f>
        <v>8.4510000000000002E-3</v>
      </c>
      <c r="P215" s="11">
        <f>+ROUND(LN(G215/G216),6)</f>
        <v>0</v>
      </c>
      <c r="Q215" s="11">
        <f>+ROUND(LN(H215/H216),6)</f>
        <v>1.6305E-2</v>
      </c>
      <c r="R215" s="3"/>
      <c r="T215" s="5" t="s">
        <v>214</v>
      </c>
      <c r="U215" s="15">
        <f>+ROUND(B$3*EXP(K215),6)</f>
        <v>7.5690249999999999</v>
      </c>
      <c r="V215" s="15">
        <f>+ROUND(C$3*EXP(L215),6)</f>
        <v>9.4070680000000007</v>
      </c>
      <c r="W215" s="15">
        <f>+ROUND(D$3*EXP(M215),6)</f>
        <v>2.5760990000000001</v>
      </c>
      <c r="X215" s="15">
        <f>+ROUND(E$3*EXP(N215),6)</f>
        <v>1.1499999999999999</v>
      </c>
      <c r="Y215" s="15">
        <f>+ROUND(F$3*EXP(O215),6)</f>
        <v>5.0222639999999998</v>
      </c>
      <c r="Z215" s="15">
        <f>+ROUND(G$3*EXP(P215),6)</f>
        <v>4.33</v>
      </c>
      <c r="AA215" s="15">
        <f>+ROUND(H$3*EXP(Q215),6)</f>
        <v>3.4762200000000001</v>
      </c>
      <c r="AB215" s="1">
        <v>213</v>
      </c>
      <c r="AC215" s="5" t="s">
        <v>214</v>
      </c>
      <c r="AD215" s="16">
        <f>+ROUND(Pozisyon!$U$4*('Data - Simülasyon- P&amp;L'!U215-'Data - Simülasyon- P&amp;L'!B$3),6)</f>
        <v>-4460.3999999999996</v>
      </c>
      <c r="AE215" s="16">
        <f>+ROUND(Pozisyon!$U$5*('Data - Simülasyon- P&amp;L'!V215-'Data - Simülasyon- P&amp;L'!C$3),6)</f>
        <v>1426.7</v>
      </c>
      <c r="AF215" s="16">
        <f>+ROUND(Pozisyon!$U$6*('Data - Simülasyon- P&amp;L'!W215-'Data - Simülasyon- P&amp;L'!D$3),6)</f>
        <v>-3635.6437500000002</v>
      </c>
      <c r="AG215" s="16">
        <f>+ROUND(Pozisyon!$U$7*('Data - Simülasyon- P&amp;L'!X215-'Data - Simülasyon- P&amp;L'!E$3),6)</f>
        <v>0</v>
      </c>
      <c r="AH215" s="16">
        <f>+ROUND(Pozisyon!$U$8*('Data - Simülasyon- P&amp;L'!Y215-'Data - Simülasyon- P&amp;L'!F$3),6)</f>
        <v>9044.4959999999992</v>
      </c>
      <c r="AI215" s="16">
        <f>+ROUND(Pozisyon!$U$9*('Data - Simülasyon- P&amp;L'!Z215-'Data - Simülasyon- P&amp;L'!G$3),6)</f>
        <v>0</v>
      </c>
      <c r="AJ215" s="16">
        <f>+ROUND(Pozisyon!$U$10*('Data - Simülasyon- P&amp;L'!AA215-'Data - Simülasyon- P&amp;L'!H$3),6)</f>
        <v>19733.22</v>
      </c>
      <c r="AK215" s="16">
        <f>+SUM(AD215:AJ215)</f>
        <v>22108.37225</v>
      </c>
      <c r="AL215" s="16">
        <f t="shared" si="0"/>
        <v>73507.936249999999</v>
      </c>
    </row>
    <row r="216" spans="1:38" ht="15" thickBot="1" x14ac:dyDescent="0.35">
      <c r="A216" s="5" t="s">
        <v>497</v>
      </c>
      <c r="B216" s="6">
        <v>7.36</v>
      </c>
      <c r="C216" s="5">
        <v>9.83</v>
      </c>
      <c r="D216" s="6">
        <v>4</v>
      </c>
      <c r="E216" s="5">
        <v>1.06</v>
      </c>
      <c r="F216" s="5">
        <v>7.07</v>
      </c>
      <c r="G216" s="5">
        <v>4.04</v>
      </c>
      <c r="H216" s="5">
        <v>3.65</v>
      </c>
      <c r="J216" s="5" t="s">
        <v>497</v>
      </c>
      <c r="K216" s="11">
        <f>+ROUND(LN(B216/B217),6)</f>
        <v>9.5560000000000003E-3</v>
      </c>
      <c r="L216" s="11">
        <f>+ROUND(LN(C216/C217),6)</f>
        <v>9.1979999999999996E-3</v>
      </c>
      <c r="M216" s="11">
        <f>+ROUND(LN(D216/D217),6)</f>
        <v>0</v>
      </c>
      <c r="N216" s="11">
        <f>+ROUND(LN(E216/E217),6)</f>
        <v>-9.3900000000000008E-3</v>
      </c>
      <c r="O216" s="11">
        <f>+ROUND(LN(F216/F217),6)</f>
        <v>1.4245000000000001E-2</v>
      </c>
      <c r="P216" s="11">
        <f>+ROUND(LN(G216/G217),6)</f>
        <v>1.4963000000000001E-2</v>
      </c>
      <c r="Q216" s="11">
        <f>+ROUND(LN(H216/H217),6)</f>
        <v>1.3793E-2</v>
      </c>
      <c r="R216" s="3"/>
      <c r="T216" s="5" t="s">
        <v>215</v>
      </c>
      <c r="U216" s="15">
        <f>+ROUND(B$3*EXP(K216),6)</f>
        <v>7.672974</v>
      </c>
      <c r="V216" s="15">
        <f>+ROUND(C$3*EXP(L216),6)</f>
        <v>9.4363980000000005</v>
      </c>
      <c r="W216" s="15">
        <f>+ROUND(D$3*EXP(M216),6)</f>
        <v>2.77</v>
      </c>
      <c r="X216" s="15">
        <f>+ROUND(E$3*EXP(N216),6)</f>
        <v>1.1392519999999999</v>
      </c>
      <c r="Y216" s="15">
        <f>+ROUND(F$3*EXP(O216),6)</f>
        <v>5.0514479999999997</v>
      </c>
      <c r="Z216" s="15">
        <f>+ROUND(G$3*EXP(P216),6)</f>
        <v>4.3952770000000001</v>
      </c>
      <c r="AA216" s="15">
        <f>+ROUND(H$3*EXP(Q216),6)</f>
        <v>3.4674990000000001</v>
      </c>
      <c r="AB216" s="1">
        <v>214</v>
      </c>
      <c r="AC216" s="5" t="s">
        <v>215</v>
      </c>
      <c r="AD216" s="16">
        <f>+ROUND(Pozisyon!$U$4*('Data - Simülasyon- P&amp;L'!U216-'Data - Simülasyon- P&amp;L'!B$3),6)</f>
        <v>10508.255999999999</v>
      </c>
      <c r="AE216" s="16">
        <f>+ROUND(Pozisyon!$U$5*('Data - Simülasyon- P&amp;L'!V216-'Data - Simülasyon- P&amp;L'!C$3),6)</f>
        <v>2159.9499999999998</v>
      </c>
      <c r="AF216" s="16">
        <f>+ROUND(Pozisyon!$U$6*('Data - Simülasyon- P&amp;L'!W216-'Data - Simülasyon- P&amp;L'!D$3),6)</f>
        <v>0</v>
      </c>
      <c r="AG216" s="16">
        <f>+ROUND(Pozisyon!$U$7*('Data - Simülasyon- P&amp;L'!X216-'Data - Simülasyon- P&amp;L'!E$3),6)</f>
        <v>-3794.0439999999999</v>
      </c>
      <c r="AH216" s="16">
        <f>+ROUND(Pozisyon!$U$8*('Data - Simülasyon- P&amp;L'!Y216-'Data - Simülasyon- P&amp;L'!F$3),6)</f>
        <v>15289.871999999999</v>
      </c>
      <c r="AI216" s="16">
        <f>+ROUND(Pozisyon!$U$9*('Data - Simülasyon- P&amp;L'!Z216-'Data - Simülasyon- P&amp;L'!G$3),6)</f>
        <v>19648.377</v>
      </c>
      <c r="AJ216" s="16">
        <f>+ROUND(Pozisyon!$U$10*('Data - Simülasyon- P&amp;L'!AA216-'Data - Simülasyon- P&amp;L'!H$3),6)</f>
        <v>16672.149000000001</v>
      </c>
      <c r="AK216" s="16">
        <f>+SUM(AD216:AJ216)</f>
        <v>60484.56</v>
      </c>
      <c r="AL216" s="16">
        <f t="shared" si="0"/>
        <v>73647.409</v>
      </c>
    </row>
    <row r="217" spans="1:38" ht="15" thickBot="1" x14ac:dyDescent="0.35">
      <c r="A217" s="5" t="s">
        <v>498</v>
      </c>
      <c r="B217" s="6">
        <v>7.29</v>
      </c>
      <c r="C217" s="5">
        <v>9.74</v>
      </c>
      <c r="D217" s="6">
        <v>4</v>
      </c>
      <c r="E217" s="5">
        <v>1.07</v>
      </c>
      <c r="F217" s="5">
        <v>6.97</v>
      </c>
      <c r="G217" s="5">
        <v>3.98</v>
      </c>
      <c r="H217" s="5">
        <v>3.6</v>
      </c>
      <c r="J217" s="5" t="s">
        <v>498</v>
      </c>
      <c r="K217" s="11">
        <f>+ROUND(LN(B217/B218),6)</f>
        <v>-2.4390999999999999E-2</v>
      </c>
      <c r="L217" s="11">
        <f>+ROUND(LN(C217/C218),6)</f>
        <v>-2.7342999999999999E-2</v>
      </c>
      <c r="M217" s="11">
        <f>+ROUND(LN(D217/D218),6)</f>
        <v>5.1292999999999998E-2</v>
      </c>
      <c r="N217" s="11">
        <f>+ROUND(LN(E217/E218),6)</f>
        <v>9.3900000000000008E-3</v>
      </c>
      <c r="O217" s="11">
        <f>+ROUND(LN(F217/F218),6)</f>
        <v>-2.2696000000000001E-2</v>
      </c>
      <c r="P217" s="11">
        <f>+ROUND(LN(G217/G218),6)</f>
        <v>-3.2141000000000003E-2</v>
      </c>
      <c r="Q217" s="11">
        <f>+ROUND(LN(H217/H218),6)</f>
        <v>-3.279E-2</v>
      </c>
      <c r="R217" s="3"/>
      <c r="T217" s="5" t="s">
        <v>216</v>
      </c>
      <c r="U217" s="15">
        <f>+ROUND(B$3*EXP(K217),6)</f>
        <v>7.4168710000000004</v>
      </c>
      <c r="V217" s="15">
        <f>+ROUND(C$3*EXP(L217),6)</f>
        <v>9.0978069999999995</v>
      </c>
      <c r="W217" s="15">
        <f>+ROUND(D$3*EXP(M217),6)</f>
        <v>2.9157890000000002</v>
      </c>
      <c r="X217" s="15">
        <f>+ROUND(E$3*EXP(N217),6)</f>
        <v>1.160849</v>
      </c>
      <c r="Y217" s="15">
        <f>+ROUND(F$3*EXP(O217),6)</f>
        <v>4.8682470000000002</v>
      </c>
      <c r="Z217" s="15">
        <f>+ROUND(G$3*EXP(P217),6)</f>
        <v>4.1930420000000002</v>
      </c>
      <c r="AA217" s="15">
        <f>+ROUND(H$3*EXP(Q217),6)</f>
        <v>3.3096770000000002</v>
      </c>
      <c r="AB217" s="1">
        <v>215</v>
      </c>
      <c r="AC217" s="5" t="s">
        <v>216</v>
      </c>
      <c r="AD217" s="16">
        <f>+ROUND(Pozisyon!$U$4*('Data - Simülasyon- P&amp;L'!U217-'Data - Simülasyon- P&amp;L'!B$3),6)</f>
        <v>-26370.576000000001</v>
      </c>
      <c r="AE217" s="16">
        <f>+ROUND(Pozisyon!$U$5*('Data - Simülasyon- P&amp;L'!V217-'Data - Simülasyon- P&amp;L'!C$3),6)</f>
        <v>-6304.8249999999998</v>
      </c>
      <c r="AF217" s="16">
        <f>+ROUND(Pozisyon!$U$6*('Data - Simülasyon- P&amp;L'!W217-'Data - Simülasyon- P&amp;L'!D$3),6)</f>
        <v>2733.5437499999998</v>
      </c>
      <c r="AG217" s="16">
        <f>+ROUND(Pozisyon!$U$7*('Data - Simülasyon- P&amp;L'!X217-'Data - Simülasyon- P&amp;L'!E$3),6)</f>
        <v>3829.6970000000001</v>
      </c>
      <c r="AH217" s="16">
        <f>+ROUND(Pozisyon!$U$8*('Data - Simülasyon- P&amp;L'!Y217-'Data - Simülasyon- P&amp;L'!F$3),6)</f>
        <v>-23915.142</v>
      </c>
      <c r="AI217" s="16">
        <f>+ROUND(Pozisyon!$U$9*('Data - Simülasyon- P&amp;L'!Z217-'Data - Simülasyon- P&amp;L'!G$3),6)</f>
        <v>-41224.358</v>
      </c>
      <c r="AJ217" s="16">
        <f>+ROUND(Pozisyon!$U$10*('Data - Simülasyon- P&amp;L'!AA217-'Data - Simülasyon- P&amp;L'!H$3),6)</f>
        <v>-38723.373</v>
      </c>
      <c r="AK217" s="16">
        <f>+SUM(AD217:AJ217)</f>
        <v>-129975.03325000001</v>
      </c>
      <c r="AL217" s="16">
        <f t="shared" si="0"/>
        <v>77538.18475</v>
      </c>
    </row>
    <row r="218" spans="1:38" ht="15" thickBot="1" x14ac:dyDescent="0.35">
      <c r="A218" s="5" t="s">
        <v>499</v>
      </c>
      <c r="B218" s="6">
        <v>7.47</v>
      </c>
      <c r="C218" s="5">
        <v>10.01</v>
      </c>
      <c r="D218" s="6">
        <v>3.8</v>
      </c>
      <c r="E218" s="5">
        <v>1.06</v>
      </c>
      <c r="F218" s="5">
        <v>7.13</v>
      </c>
      <c r="G218" s="5">
        <v>4.1100000000000003</v>
      </c>
      <c r="H218" s="5">
        <v>3.72</v>
      </c>
      <c r="J218" s="5" t="s">
        <v>499</v>
      </c>
      <c r="K218" s="11">
        <f>+ROUND(LN(B218/B219),6)</f>
        <v>1.0767000000000001E-2</v>
      </c>
      <c r="L218" s="11">
        <f>+ROUND(LN(C218/C219),6)</f>
        <v>9.0320000000000001E-3</v>
      </c>
      <c r="M218" s="11">
        <f>+ROUND(LN(D218/D219),6)</f>
        <v>-4.879E-2</v>
      </c>
      <c r="N218" s="11">
        <f>+ROUND(LN(E218/E219),6)</f>
        <v>6.8319000000000005E-2</v>
      </c>
      <c r="O218" s="11">
        <f>+ROUND(LN(F218/F219),6)</f>
        <v>5.6259999999999999E-3</v>
      </c>
      <c r="P218" s="11">
        <f>+ROUND(LN(G218/G219),6)</f>
        <v>0</v>
      </c>
      <c r="Q218" s="11">
        <f>+ROUND(LN(H218/H219),6)</f>
        <v>-1.0695E-2</v>
      </c>
      <c r="R218" s="3"/>
      <c r="T218" s="5" t="s">
        <v>217</v>
      </c>
      <c r="U218" s="15">
        <f>+ROUND(B$3*EXP(K218),6)</f>
        <v>7.6822710000000001</v>
      </c>
      <c r="V218" s="15">
        <f>+ROUND(C$3*EXP(L218),6)</f>
        <v>9.4348320000000001</v>
      </c>
      <c r="W218" s="15">
        <f>+ROUND(D$3*EXP(M218),6)</f>
        <v>2.638096</v>
      </c>
      <c r="X218" s="15">
        <f>+ROUND(E$3*EXP(N218),6)</f>
        <v>1.2313130000000001</v>
      </c>
      <c r="Y218" s="15">
        <f>+ROUND(F$3*EXP(O218),6)</f>
        <v>5.0080960000000001</v>
      </c>
      <c r="Z218" s="15">
        <f>+ROUND(G$3*EXP(P218),6)</f>
        <v>4.33</v>
      </c>
      <c r="AA218" s="15">
        <f>+ROUND(H$3*EXP(Q218),6)</f>
        <v>3.3836179999999998</v>
      </c>
      <c r="AB218" s="1">
        <v>216</v>
      </c>
      <c r="AC218" s="5" t="s">
        <v>217</v>
      </c>
      <c r="AD218" s="16">
        <f>+ROUND(Pozisyon!$U$4*('Data - Simülasyon- P&amp;L'!U218-'Data - Simülasyon- P&amp;L'!B$3),6)</f>
        <v>11847.023999999999</v>
      </c>
      <c r="AE218" s="16">
        <f>+ROUND(Pozisyon!$U$5*('Data - Simülasyon- P&amp;L'!V218-'Data - Simülasyon- P&amp;L'!C$3),6)</f>
        <v>2120.8000000000002</v>
      </c>
      <c r="AF218" s="16">
        <f>+ROUND(Pozisyon!$U$6*('Data - Simülasyon- P&amp;L'!W218-'Data - Simülasyon- P&amp;L'!D$3),6)</f>
        <v>-2473.1999999999998</v>
      </c>
      <c r="AG218" s="16">
        <f>+ROUND(Pozisyon!$U$7*('Data - Simülasyon- P&amp;L'!X218-'Data - Simülasyon- P&amp;L'!E$3),6)</f>
        <v>28703.489000000001</v>
      </c>
      <c r="AH218" s="16">
        <f>+ROUND(Pozisyon!$U$8*('Data - Simülasyon- P&amp;L'!Y218-'Data - Simülasyon- P&amp;L'!F$3),6)</f>
        <v>6012.5439999999999</v>
      </c>
      <c r="AI218" s="16">
        <f>+ROUND(Pozisyon!$U$9*('Data - Simülasyon- P&amp;L'!Z218-'Data - Simülasyon- P&amp;L'!G$3),6)</f>
        <v>0</v>
      </c>
      <c r="AJ218" s="16">
        <f>+ROUND(Pozisyon!$U$10*('Data - Simülasyon- P&amp;L'!AA218-'Data - Simülasyon- P&amp;L'!H$3),6)</f>
        <v>-12770.082</v>
      </c>
      <c r="AK218" s="16">
        <f>+SUM(AD218:AJ218)</f>
        <v>33440.574999999997</v>
      </c>
      <c r="AL218" s="16">
        <f t="shared" si="0"/>
        <v>80631.981</v>
      </c>
    </row>
    <row r="219" spans="1:38" ht="15" thickBot="1" x14ac:dyDescent="0.35">
      <c r="A219" s="5" t="s">
        <v>500</v>
      </c>
      <c r="B219" s="6">
        <v>7.39</v>
      </c>
      <c r="C219" s="5">
        <v>9.92</v>
      </c>
      <c r="D219" s="6">
        <v>3.99</v>
      </c>
      <c r="E219" s="5">
        <v>0.99</v>
      </c>
      <c r="F219" s="5">
        <v>7.09</v>
      </c>
      <c r="G219" s="5">
        <v>4.1100000000000003</v>
      </c>
      <c r="H219" s="5">
        <v>3.76</v>
      </c>
      <c r="J219" s="5" t="s">
        <v>500</v>
      </c>
      <c r="K219" s="11">
        <f>+ROUND(LN(B219/B220),6)</f>
        <v>3.8625E-2</v>
      </c>
      <c r="L219" s="11">
        <f>+ROUND(LN(C219/C220),6)</f>
        <v>3.4875000000000003E-2</v>
      </c>
      <c r="M219" s="11">
        <f>+ROUND(LN(D219/D220),6)</f>
        <v>1.0076E-2</v>
      </c>
      <c r="N219" s="11">
        <f>+ROUND(LN(E219/E220),6)</f>
        <v>2.0409E-2</v>
      </c>
      <c r="O219" s="11">
        <f>+ROUND(LN(F219/F220),6)</f>
        <v>3.7360999999999998E-2</v>
      </c>
      <c r="P219" s="11">
        <f>+ROUND(LN(G219/G220),6)</f>
        <v>3.4657E-2</v>
      </c>
      <c r="Q219" s="11">
        <f>+ROUND(LN(H219/H220),6)</f>
        <v>2.6956000000000001E-2</v>
      </c>
      <c r="R219" s="3"/>
      <c r="T219" s="5" t="s">
        <v>218</v>
      </c>
      <c r="U219" s="15">
        <f>+ROUND(B$3*EXP(K219),6)</f>
        <v>7.8992930000000001</v>
      </c>
      <c r="V219" s="15">
        <f>+ROUND(C$3*EXP(L219),6)</f>
        <v>9.6818340000000003</v>
      </c>
      <c r="W219" s="15">
        <f>+ROUND(D$3*EXP(M219),6)</f>
        <v>2.7980520000000002</v>
      </c>
      <c r="X219" s="15">
        <f>+ROUND(E$3*EXP(N219),6)</f>
        <v>1.1737109999999999</v>
      </c>
      <c r="Y219" s="15">
        <f>+ROUND(F$3*EXP(O219),6)</f>
        <v>5.1695770000000003</v>
      </c>
      <c r="Z219" s="15">
        <f>+ROUND(G$3*EXP(P219),6)</f>
        <v>4.4826959999999998</v>
      </c>
      <c r="AA219" s="15">
        <f>+ROUND(H$3*EXP(Q219),6)</f>
        <v>3.5134430000000001</v>
      </c>
      <c r="AB219" s="1">
        <v>217</v>
      </c>
      <c r="AC219" s="5" t="s">
        <v>218</v>
      </c>
      <c r="AD219" s="16">
        <f>+ROUND(Pozisyon!$U$4*('Data - Simülasyon- P&amp;L'!U219-'Data - Simülasyon- P&amp;L'!B$3),6)</f>
        <v>43098.192000000003</v>
      </c>
      <c r="AE219" s="16">
        <f>+ROUND(Pozisyon!$U$5*('Data - Simülasyon- P&amp;L'!V219-'Data - Simülasyon- P&amp;L'!C$3),6)</f>
        <v>8295.85</v>
      </c>
      <c r="AF219" s="16">
        <f>+ROUND(Pozisyon!$U$6*('Data - Simülasyon- P&amp;L'!W219-'Data - Simülasyon- P&amp;L'!D$3),6)</f>
        <v>525.97500000000002</v>
      </c>
      <c r="AG219" s="16">
        <f>+ROUND(Pozisyon!$U$7*('Data - Simülasyon- P&amp;L'!X219-'Data - Simülasyon- P&amp;L'!E$3),6)</f>
        <v>8369.9830000000002</v>
      </c>
      <c r="AH219" s="16">
        <f>+ROUND(Pozisyon!$U$8*('Data - Simülasyon- P&amp;L'!Y219-'Data - Simülasyon- P&amp;L'!F$3),6)</f>
        <v>40569.478000000003</v>
      </c>
      <c r="AI219" s="16">
        <f>+ROUND(Pozisyon!$U$9*('Data - Simülasyon- P&amp;L'!Z219-'Data - Simülasyon- P&amp;L'!G$3),6)</f>
        <v>45961.495999999999</v>
      </c>
      <c r="AJ219" s="16">
        <f>+ROUND(Pozisyon!$U$10*('Data - Simülasyon- P&amp;L'!AA219-'Data - Simülasyon- P&amp;L'!H$3),6)</f>
        <v>32798.493000000002</v>
      </c>
      <c r="AK219" s="16">
        <f>+SUM(AD219:AJ219)</f>
        <v>179619.467</v>
      </c>
      <c r="AL219" s="16">
        <f t="shared" si="0"/>
        <v>81611.574000000008</v>
      </c>
    </row>
    <row r="220" spans="1:38" ht="15" thickBot="1" x14ac:dyDescent="0.35">
      <c r="A220" s="5" t="s">
        <v>501</v>
      </c>
      <c r="B220" s="6">
        <v>7.11</v>
      </c>
      <c r="C220" s="5">
        <v>9.58</v>
      </c>
      <c r="D220" s="6">
        <v>3.95</v>
      </c>
      <c r="E220" s="5">
        <v>0.97</v>
      </c>
      <c r="F220" s="5">
        <v>6.83</v>
      </c>
      <c r="G220" s="5">
        <v>3.97</v>
      </c>
      <c r="H220" s="5">
        <v>3.66</v>
      </c>
      <c r="J220" s="5" t="s">
        <v>501</v>
      </c>
      <c r="K220" s="11">
        <f>+ROUND(LN(B220/B221),6)</f>
        <v>-1.2579E-2</v>
      </c>
      <c r="L220" s="11">
        <f>+ROUND(LN(C220/C221),6)</f>
        <v>-2.1683999999999998E-2</v>
      </c>
      <c r="M220" s="11">
        <f>+ROUND(LN(D220/D221),6)</f>
        <v>-2.5279999999999999E-3</v>
      </c>
      <c r="N220" s="11">
        <f>+ROUND(LN(E220/E221),6)</f>
        <v>0</v>
      </c>
      <c r="O220" s="11">
        <f>+ROUND(LN(F220/F221),6)</f>
        <v>-1.1645000000000001E-2</v>
      </c>
      <c r="P220" s="11">
        <f>+ROUND(LN(G220/G221),6)</f>
        <v>-1.7479000000000001E-2</v>
      </c>
      <c r="Q220" s="11">
        <f>+ROUND(LN(H220/H221),6)</f>
        <v>-2.4292999999999999E-2</v>
      </c>
      <c r="R220" s="3"/>
      <c r="T220" s="5" t="s">
        <v>219</v>
      </c>
      <c r="U220" s="15">
        <f>+ROUND(B$3*EXP(K220),6)</f>
        <v>7.5049979999999996</v>
      </c>
      <c r="V220" s="15">
        <f>+ROUND(C$3*EXP(L220),6)</f>
        <v>9.1494370000000007</v>
      </c>
      <c r="W220" s="15">
        <f>+ROUND(D$3*EXP(M220),6)</f>
        <v>2.7630059999999999</v>
      </c>
      <c r="X220" s="15">
        <f>+ROUND(E$3*EXP(N220),6)</f>
        <v>1.1499999999999999</v>
      </c>
      <c r="Y220" s="15">
        <f>+ROUND(F$3*EXP(O220),6)</f>
        <v>4.9223439999999998</v>
      </c>
      <c r="Z220" s="15">
        <f>+ROUND(G$3*EXP(P220),6)</f>
        <v>4.2549739999999998</v>
      </c>
      <c r="AA220" s="15">
        <f>+ROUND(H$3*EXP(Q220),6)</f>
        <v>3.3379189999999999</v>
      </c>
      <c r="AB220" s="1">
        <v>218</v>
      </c>
      <c r="AC220" s="5" t="s">
        <v>219</v>
      </c>
      <c r="AD220" s="16">
        <f>+ROUND(Pozisyon!$U$4*('Data - Simülasyon- P&amp;L'!U220-'Data - Simülasyon- P&amp;L'!B$3),6)</f>
        <v>-13680.288</v>
      </c>
      <c r="AE220" s="16">
        <f>+ROUND(Pozisyon!$U$5*('Data - Simülasyon- P&amp;L'!V220-'Data - Simülasyon- P&amp;L'!C$3),6)</f>
        <v>-5014.0749999999998</v>
      </c>
      <c r="AF220" s="16">
        <f>+ROUND(Pozisyon!$U$6*('Data - Simülasyon- P&amp;L'!W220-'Data - Simülasyon- P&amp;L'!D$3),6)</f>
        <v>-131.13749999999999</v>
      </c>
      <c r="AG220" s="16">
        <f>+ROUND(Pozisyon!$U$7*('Data - Simülasyon- P&amp;L'!X220-'Data - Simülasyon- P&amp;L'!E$3),6)</f>
        <v>0</v>
      </c>
      <c r="AH220" s="16">
        <f>+ROUND(Pozisyon!$U$8*('Data - Simülasyon- P&amp;L'!Y220-'Data - Simülasyon- P&amp;L'!F$3),6)</f>
        <v>-12338.384</v>
      </c>
      <c r="AI220" s="16">
        <f>+ROUND(Pozisyon!$U$9*('Data - Simülasyon- P&amp;L'!Z220-'Data - Simülasyon- P&amp;L'!G$3),6)</f>
        <v>-22582.826000000001</v>
      </c>
      <c r="AJ220" s="16">
        <f>+ROUND(Pozisyon!$U$10*('Data - Simülasyon- P&amp;L'!AA220-'Data - Simülasyon- P&amp;L'!H$3),6)</f>
        <v>-28810.431</v>
      </c>
      <c r="AK220" s="16">
        <f>+SUM(AD220:AJ220)</f>
        <v>-82557.141499999998</v>
      </c>
      <c r="AL220" s="16">
        <f t="shared" si="0"/>
        <v>81649.239249999999</v>
      </c>
    </row>
    <row r="221" spans="1:38" ht="15" thickBot="1" x14ac:dyDescent="0.35">
      <c r="A221" s="5" t="s">
        <v>502</v>
      </c>
      <c r="B221" s="6">
        <v>7.2</v>
      </c>
      <c r="C221" s="5">
        <v>9.7899999999999991</v>
      </c>
      <c r="D221" s="6">
        <v>3.96</v>
      </c>
      <c r="E221" s="5">
        <v>0.97</v>
      </c>
      <c r="F221" s="5">
        <v>6.91</v>
      </c>
      <c r="G221" s="5">
        <v>4.04</v>
      </c>
      <c r="H221" s="5">
        <v>3.75</v>
      </c>
      <c r="J221" s="5" t="s">
        <v>502</v>
      </c>
      <c r="K221" s="11">
        <f>+ROUND(LN(B221/B222),6)</f>
        <v>5.5710000000000004E-3</v>
      </c>
      <c r="L221" s="11">
        <f>+ROUND(LN(C221/C222),6)</f>
        <v>3.0690000000000001E-3</v>
      </c>
      <c r="M221" s="11">
        <f>+ROUND(LN(D221/D222),6)</f>
        <v>-2.0001000000000001E-2</v>
      </c>
      <c r="N221" s="11">
        <f>+ROUND(LN(E221/E222),6)</f>
        <v>0</v>
      </c>
      <c r="O221" s="11">
        <f>+ROUND(LN(F221/F222),6)</f>
        <v>2.4910000000000002E-2</v>
      </c>
      <c r="P221" s="11">
        <f>+ROUND(LN(G221/G222),6)</f>
        <v>4.9630000000000004E-3</v>
      </c>
      <c r="Q221" s="11">
        <f>+ROUND(LN(H221/H222),6)</f>
        <v>-1.061E-2</v>
      </c>
      <c r="R221" s="3"/>
      <c r="T221" s="5" t="s">
        <v>220</v>
      </c>
      <c r="U221" s="15">
        <f>+ROUND(B$3*EXP(K221),6)</f>
        <v>7.6424580000000004</v>
      </c>
      <c r="V221" s="15">
        <f>+ROUND(C$3*EXP(L221),6)</f>
        <v>9.3787389999999995</v>
      </c>
      <c r="W221" s="15">
        <f>+ROUND(D$3*EXP(M221),6)</f>
        <v>2.7151480000000001</v>
      </c>
      <c r="X221" s="15">
        <f>+ROUND(E$3*EXP(N221),6)</f>
        <v>1.1499999999999999</v>
      </c>
      <c r="Y221" s="15">
        <f>+ROUND(F$3*EXP(O221),6)</f>
        <v>5.1056100000000004</v>
      </c>
      <c r="Z221" s="15">
        <f>+ROUND(G$3*EXP(P221),6)</f>
        <v>4.3515430000000004</v>
      </c>
      <c r="AA221" s="15">
        <f>+ROUND(H$3*EXP(Q221),6)</f>
        <v>3.3839060000000001</v>
      </c>
      <c r="AB221" s="1">
        <v>219</v>
      </c>
      <c r="AC221" s="5" t="s">
        <v>220</v>
      </c>
      <c r="AD221" s="16">
        <f>+ROUND(Pozisyon!$U$4*('Data - Simülasyon- P&amp;L'!U221-'Data - Simülasyon- P&amp;L'!B$3),6)</f>
        <v>6113.9520000000002</v>
      </c>
      <c r="AE221" s="16">
        <f>+ROUND(Pozisyon!$U$5*('Data - Simülasyon- P&amp;L'!V221-'Data - Simülasyon- P&amp;L'!C$3),6)</f>
        <v>718.47500000000002</v>
      </c>
      <c r="AF221" s="16">
        <f>+ROUND(Pozisyon!$U$6*('Data - Simülasyon- P&amp;L'!W221-'Data - Simülasyon- P&amp;L'!D$3),6)</f>
        <v>-1028.4749999999999</v>
      </c>
      <c r="AG221" s="16">
        <f>+ROUND(Pozisyon!$U$7*('Data - Simülasyon- P&amp;L'!X221-'Data - Simülasyon- P&amp;L'!E$3),6)</f>
        <v>0</v>
      </c>
      <c r="AH221" s="16">
        <f>+ROUND(Pozisyon!$U$8*('Data - Simülasyon- P&amp;L'!Y221-'Data - Simülasyon- P&amp;L'!F$3),6)</f>
        <v>26880.54</v>
      </c>
      <c r="AI221" s="16">
        <f>+ROUND(Pozisyon!$U$9*('Data - Simülasyon- P&amp;L'!Z221-'Data - Simülasyon- P&amp;L'!G$3),6)</f>
        <v>6484.4430000000002</v>
      </c>
      <c r="AJ221" s="16">
        <f>+ROUND(Pozisyon!$U$10*('Data - Simülasyon- P&amp;L'!AA221-'Data - Simülasyon- P&amp;L'!H$3),6)</f>
        <v>-12668.994000000001</v>
      </c>
      <c r="AK221" s="16">
        <f>+SUM(AD221:AJ221)</f>
        <v>26499.941000000006</v>
      </c>
      <c r="AL221" s="16">
        <f t="shared" si="0"/>
        <v>82682.521500000003</v>
      </c>
    </row>
    <row r="222" spans="1:38" ht="15" thickBot="1" x14ac:dyDescent="0.35">
      <c r="A222" s="5" t="s">
        <v>503</v>
      </c>
      <c r="B222" s="6">
        <v>7.16</v>
      </c>
      <c r="C222" s="5">
        <v>9.76</v>
      </c>
      <c r="D222" s="6">
        <v>4.04</v>
      </c>
      <c r="E222" s="5">
        <v>0.97</v>
      </c>
      <c r="F222" s="5">
        <v>6.74</v>
      </c>
      <c r="G222" s="5">
        <v>4.0199999999999996</v>
      </c>
      <c r="H222" s="5">
        <v>3.79</v>
      </c>
      <c r="J222" s="5" t="s">
        <v>503</v>
      </c>
      <c r="K222" s="11">
        <f>+ROUND(LN(B222/B223),6)</f>
        <v>1.9747000000000001E-2</v>
      </c>
      <c r="L222" s="11">
        <f>+ROUND(LN(C222/C223),6)</f>
        <v>3.2278000000000001E-2</v>
      </c>
      <c r="M222" s="11">
        <f>+ROUND(LN(D222/D223),6)</f>
        <v>-2.4719999999999998E-3</v>
      </c>
      <c r="N222" s="11">
        <f>+ROUND(LN(E222/E223),6)</f>
        <v>1.0363000000000001E-2</v>
      </c>
      <c r="O222" s="11">
        <f>+ROUND(LN(F222/F223),6)</f>
        <v>1.7964999999999998E-2</v>
      </c>
      <c r="P222" s="11">
        <f>+ROUND(LN(G222/G223),6)</f>
        <v>3.8026999999999998E-2</v>
      </c>
      <c r="Q222" s="11">
        <f>+ROUND(LN(H222/H223),6)</f>
        <v>4.0382000000000001E-2</v>
      </c>
      <c r="R222" s="3"/>
      <c r="T222" s="5" t="s">
        <v>221</v>
      </c>
      <c r="U222" s="15">
        <f>+ROUND(B$3*EXP(K222),6)</f>
        <v>7.7515689999999999</v>
      </c>
      <c r="V222" s="15">
        <f>+ROUND(C$3*EXP(L222),6)</f>
        <v>9.6567229999999995</v>
      </c>
      <c r="W222" s="15">
        <f>+ROUND(D$3*EXP(M222),6)</f>
        <v>2.7631610000000002</v>
      </c>
      <c r="X222" s="15">
        <f>+ROUND(E$3*EXP(N222),6)</f>
        <v>1.1619790000000001</v>
      </c>
      <c r="Y222" s="15">
        <f>+ROUND(F$3*EXP(O222),6)</f>
        <v>5.0702740000000004</v>
      </c>
      <c r="Z222" s="15">
        <f>+ROUND(G$3*EXP(P222),6)</f>
        <v>4.4978280000000002</v>
      </c>
      <c r="AA222" s="15">
        <f>+ROUND(H$3*EXP(Q222),6)</f>
        <v>3.5609329999999999</v>
      </c>
      <c r="AB222" s="1">
        <v>220</v>
      </c>
      <c r="AC222" s="5" t="s">
        <v>221</v>
      </c>
      <c r="AD222" s="16">
        <f>+ROUND(Pozisyon!$U$4*('Data - Simülasyon- P&amp;L'!U222-'Data - Simülasyon- P&amp;L'!B$3),6)</f>
        <v>21825.936000000002</v>
      </c>
      <c r="AE222" s="16">
        <f>+ROUND(Pozisyon!$U$5*('Data - Simülasyon- P&amp;L'!V222-'Data - Simülasyon- P&amp;L'!C$3),6)</f>
        <v>7668.0749999999998</v>
      </c>
      <c r="AF222" s="16">
        <f>+ROUND(Pozisyon!$U$6*('Data - Simülasyon- P&amp;L'!W222-'Data - Simülasyon- P&amp;L'!D$3),6)</f>
        <v>-128.23124999999999</v>
      </c>
      <c r="AG222" s="16">
        <f>+ROUND(Pozisyon!$U$7*('Data - Simülasyon- P&amp;L'!X222-'Data - Simülasyon- P&amp;L'!E$3),6)</f>
        <v>4228.5870000000004</v>
      </c>
      <c r="AH222" s="16">
        <f>+ROUND(Pozisyon!$U$8*('Data - Simülasyon- P&amp;L'!Y222-'Data - Simülasyon- P&amp;L'!F$3),6)</f>
        <v>19318.635999999999</v>
      </c>
      <c r="AI222" s="16">
        <f>+ROUND(Pozisyon!$U$9*('Data - Simülasyon- P&amp;L'!Z222-'Data - Simülasyon- P&amp;L'!G$3),6)</f>
        <v>50516.228000000003</v>
      </c>
      <c r="AJ222" s="16">
        <f>+ROUND(Pozisyon!$U$10*('Data - Simülasyon- P&amp;L'!AA222-'Data - Simülasyon- P&amp;L'!H$3),6)</f>
        <v>49467.483</v>
      </c>
      <c r="AK222" s="16">
        <f>+SUM(AD222:AJ222)</f>
        <v>152896.71375</v>
      </c>
      <c r="AL222" s="16">
        <f t="shared" si="0"/>
        <v>83961.219750000004</v>
      </c>
    </row>
    <row r="223" spans="1:38" ht="15" thickBot="1" x14ac:dyDescent="0.35">
      <c r="A223" s="5" t="s">
        <v>504</v>
      </c>
      <c r="B223" s="6">
        <v>7.02</v>
      </c>
      <c r="C223" s="5">
        <v>9.4499999999999993</v>
      </c>
      <c r="D223" s="6">
        <v>4.05</v>
      </c>
      <c r="E223" s="5">
        <v>0.96</v>
      </c>
      <c r="F223" s="5">
        <v>6.62</v>
      </c>
      <c r="G223" s="5">
        <v>3.87</v>
      </c>
      <c r="H223" s="5">
        <v>3.64</v>
      </c>
      <c r="J223" s="5" t="s">
        <v>504</v>
      </c>
      <c r="K223" s="11">
        <f>+ROUND(LN(B223/B224),6)</f>
        <v>1.0022E-2</v>
      </c>
      <c r="L223" s="11">
        <f>+ROUND(LN(C223/C224),6)</f>
        <v>1.059E-3</v>
      </c>
      <c r="M223" s="11">
        <f>+ROUND(LN(D223/D224),6)</f>
        <v>9.9260000000000008E-3</v>
      </c>
      <c r="N223" s="11">
        <f>+ROUND(LN(E223/E224),6)</f>
        <v>1.0470999999999999E-2</v>
      </c>
      <c r="O223" s="11">
        <f>+ROUND(LN(F223/F224),6)</f>
        <v>1.0630000000000001E-2</v>
      </c>
      <c r="P223" s="11">
        <f>+ROUND(LN(G223/G224),6)</f>
        <v>1.039E-2</v>
      </c>
      <c r="Q223" s="11">
        <f>+ROUND(LN(H223/H224),6)</f>
        <v>8.2760000000000004E-3</v>
      </c>
      <c r="R223" s="3"/>
      <c r="T223" s="5" t="s">
        <v>222</v>
      </c>
      <c r="U223" s="15">
        <f>+ROUND(B$3*EXP(K223),6)</f>
        <v>7.6765499999999998</v>
      </c>
      <c r="V223" s="15">
        <f>+ROUND(C$3*EXP(L223),6)</f>
        <v>9.3599069999999998</v>
      </c>
      <c r="W223" s="15">
        <f>+ROUND(D$3*EXP(M223),6)</f>
        <v>2.7976320000000001</v>
      </c>
      <c r="X223" s="15">
        <f>+ROUND(E$3*EXP(N223),6)</f>
        <v>1.1621049999999999</v>
      </c>
      <c r="Y223" s="15">
        <f>+ROUND(F$3*EXP(O223),6)</f>
        <v>5.03322</v>
      </c>
      <c r="Z223" s="15">
        <f>+ROUND(G$3*EXP(P223),6)</f>
        <v>4.3752230000000001</v>
      </c>
      <c r="AA223" s="15">
        <f>+ROUND(H$3*EXP(Q223),6)</f>
        <v>3.4484210000000002</v>
      </c>
      <c r="AB223" s="1">
        <v>221</v>
      </c>
      <c r="AC223" s="5" t="s">
        <v>222</v>
      </c>
      <c r="AD223" s="16">
        <f>+ROUND(Pozisyon!$U$4*('Data - Simülasyon- P&amp;L'!U223-'Data - Simülasyon- P&amp;L'!B$3),6)</f>
        <v>11023.2</v>
      </c>
      <c r="AE223" s="16">
        <f>+ROUND(Pozisyon!$U$5*('Data - Simülasyon- P&amp;L'!V223-'Data - Simülasyon- P&amp;L'!C$3),6)</f>
        <v>247.67500000000001</v>
      </c>
      <c r="AF223" s="16">
        <f>+ROUND(Pozisyon!$U$6*('Data - Simülasyon- P&amp;L'!W223-'Data - Simülasyon- P&amp;L'!D$3),6)</f>
        <v>518.1</v>
      </c>
      <c r="AG223" s="16">
        <f>+ROUND(Pozisyon!$U$7*('Data - Simülasyon- P&amp;L'!X223-'Data - Simülasyon- P&amp;L'!E$3),6)</f>
        <v>4273.0649999999996</v>
      </c>
      <c r="AH223" s="16">
        <f>+ROUND(Pozisyon!$U$8*('Data - Simülasyon- P&amp;L'!Y223-'Data - Simülasyon- P&amp;L'!F$3),6)</f>
        <v>11389.08</v>
      </c>
      <c r="AI223" s="16">
        <f>+ROUND(Pozisyon!$U$9*('Data - Simülasyon- P&amp;L'!Z223-'Data - Simülasyon- P&amp;L'!G$3),6)</f>
        <v>13612.123</v>
      </c>
      <c r="AJ223" s="16">
        <f>+ROUND(Pozisyon!$U$10*('Data - Simülasyon- P&amp;L'!AA223-'Data - Simülasyon- P&amp;L'!H$3),6)</f>
        <v>9975.7710000000006</v>
      </c>
      <c r="AK223" s="16">
        <f>+SUM(AD223:AJ223)</f>
        <v>51039.014000000003</v>
      </c>
      <c r="AL223" s="16">
        <f t="shared" si="0"/>
        <v>86189.010999999999</v>
      </c>
    </row>
    <row r="224" spans="1:38" ht="15" thickBot="1" x14ac:dyDescent="0.35">
      <c r="A224" s="5" t="s">
        <v>505</v>
      </c>
      <c r="B224" s="6">
        <v>6.95</v>
      </c>
      <c r="C224" s="5">
        <v>9.44</v>
      </c>
      <c r="D224" s="6">
        <v>4.01</v>
      </c>
      <c r="E224" s="5">
        <v>0.95</v>
      </c>
      <c r="F224" s="5">
        <v>6.55</v>
      </c>
      <c r="G224" s="5">
        <v>3.83</v>
      </c>
      <c r="H224" s="5">
        <v>3.61</v>
      </c>
      <c r="J224" s="5" t="s">
        <v>505</v>
      </c>
      <c r="K224" s="11">
        <f>+ROUND(LN(B224/B225),6)</f>
        <v>-1.0022E-2</v>
      </c>
      <c r="L224" s="11">
        <f>+ROUND(LN(C224/C225),6)</f>
        <v>-9.4889999999999992E-3</v>
      </c>
      <c r="M224" s="11">
        <f>+ROUND(LN(D224/D225),6)</f>
        <v>2.7814999999999999E-2</v>
      </c>
      <c r="N224" s="11">
        <f>+ROUND(LN(E224/E225),6)</f>
        <v>-4.1243000000000002E-2</v>
      </c>
      <c r="O224" s="11">
        <f>+ROUND(LN(F224/F225),6)</f>
        <v>-2.2641999999999999E-2</v>
      </c>
      <c r="P224" s="11">
        <f>+ROUND(LN(G224/G225),6)</f>
        <v>2.614E-3</v>
      </c>
      <c r="Q224" s="11">
        <f>+ROUND(LN(H224/H225),6)</f>
        <v>2.774E-3</v>
      </c>
      <c r="R224" s="3"/>
      <c r="T224" s="5" t="s">
        <v>223</v>
      </c>
      <c r="U224" s="15">
        <f>+ROUND(B$3*EXP(K224),6)</f>
        <v>7.5242129999999996</v>
      </c>
      <c r="V224" s="15">
        <f>+ROUND(C$3*EXP(L224),6)</f>
        <v>9.2616969999999998</v>
      </c>
      <c r="W224" s="15">
        <f>+ROUND(D$3*EXP(M224),6)</f>
        <v>2.8481290000000001</v>
      </c>
      <c r="X224" s="15">
        <f>+ROUND(E$3*EXP(N224),6)</f>
        <v>1.1035349999999999</v>
      </c>
      <c r="Y224" s="15">
        <f>+ROUND(F$3*EXP(O224),6)</f>
        <v>4.8685099999999997</v>
      </c>
      <c r="Z224" s="15">
        <f>+ROUND(G$3*EXP(P224),6)</f>
        <v>4.3413329999999997</v>
      </c>
      <c r="AA224" s="15">
        <f>+ROUND(H$3*EXP(Q224),6)</f>
        <v>3.4295</v>
      </c>
      <c r="AB224" s="1">
        <v>222</v>
      </c>
      <c r="AC224" s="5" t="s">
        <v>223</v>
      </c>
      <c r="AD224" s="16">
        <f>+ROUND(Pozisyon!$U$4*('Data - Simülasyon- P&amp;L'!U224-'Data - Simülasyon- P&amp;L'!B$3),6)</f>
        <v>-10913.328</v>
      </c>
      <c r="AE224" s="16">
        <f>+ROUND(Pozisyon!$U$5*('Data - Simülasyon- P&amp;L'!V224-'Data - Simülasyon- P&amp;L'!C$3),6)</f>
        <v>-2207.5749999999998</v>
      </c>
      <c r="AF224" s="16">
        <f>+ROUND(Pozisyon!$U$6*('Data - Simülasyon- P&amp;L'!W224-'Data - Simülasyon- P&amp;L'!D$3),6)</f>
        <v>1464.91875</v>
      </c>
      <c r="AG224" s="16">
        <f>+ROUND(Pozisyon!$U$7*('Data - Simülasyon- P&amp;L'!X224-'Data - Simülasyon- P&amp;L'!E$3),6)</f>
        <v>-16402.145</v>
      </c>
      <c r="AH224" s="16">
        <f>+ROUND(Pozisyon!$U$8*('Data - Simülasyon- P&amp;L'!Y224-'Data - Simülasyon- P&amp;L'!F$3),6)</f>
        <v>-23858.86</v>
      </c>
      <c r="AI224" s="16">
        <f>+ROUND(Pozisyon!$U$9*('Data - Simülasyon- P&amp;L'!Z224-'Data - Simülasyon- P&amp;L'!G$3),6)</f>
        <v>3411.2330000000002</v>
      </c>
      <c r="AJ224" s="16">
        <f>+ROUND(Pozisyon!$U$10*('Data - Simülasyon- P&amp;L'!AA224-'Data - Simülasyon- P&amp;L'!H$3),6)</f>
        <v>3334.5</v>
      </c>
      <c r="AK224" s="16">
        <f>+SUM(AD224:AJ224)</f>
        <v>-45171.256249999999</v>
      </c>
      <c r="AL224" s="16">
        <f t="shared" si="0"/>
        <v>88129.046999999991</v>
      </c>
    </row>
    <row r="225" spans="1:38" ht="15" thickBot="1" x14ac:dyDescent="0.35">
      <c r="A225" s="5" t="s">
        <v>506</v>
      </c>
      <c r="B225" s="6">
        <v>7.02</v>
      </c>
      <c r="C225" s="5">
        <v>9.5299999999999994</v>
      </c>
      <c r="D225" s="6">
        <v>3.9</v>
      </c>
      <c r="E225" s="5">
        <v>0.99</v>
      </c>
      <c r="F225" s="5">
        <v>6.7</v>
      </c>
      <c r="G225" s="5">
        <v>3.82</v>
      </c>
      <c r="H225" s="5">
        <v>3.6</v>
      </c>
      <c r="J225" s="5" t="s">
        <v>506</v>
      </c>
      <c r="K225" s="11">
        <f>+ROUND(LN(B225/B226),6)</f>
        <v>-4.2640000000000004E-3</v>
      </c>
      <c r="L225" s="11">
        <f>+ROUND(LN(C225/C226),6)</f>
        <v>1.2671999999999999E-2</v>
      </c>
      <c r="M225" s="11">
        <f>+ROUND(LN(D225/D226),6)</f>
        <v>-2.5318E-2</v>
      </c>
      <c r="N225" s="11">
        <f>+ROUND(LN(E225/E226),6)</f>
        <v>-1.005E-2</v>
      </c>
      <c r="O225" s="11">
        <f>+ROUND(LN(F225/F226),6)</f>
        <v>-1.3343000000000001E-2</v>
      </c>
      <c r="P225" s="11">
        <f>+ROUND(LN(G225/G226),6)</f>
        <v>5.2490000000000002E-3</v>
      </c>
      <c r="Q225" s="11">
        <f>+ROUND(LN(H225/H226),6)</f>
        <v>-1.1050000000000001E-2</v>
      </c>
      <c r="R225" s="3"/>
      <c r="T225" s="5" t="s">
        <v>224</v>
      </c>
      <c r="U225" s="15">
        <f>+ROUND(B$3*EXP(K225),6)</f>
        <v>7.5676629999999996</v>
      </c>
      <c r="V225" s="15">
        <f>+ROUND(C$3*EXP(L225),6)</f>
        <v>9.4692369999999997</v>
      </c>
      <c r="W225" s="15">
        <f>+ROUND(D$3*EXP(M225),6)</f>
        <v>2.7007490000000001</v>
      </c>
      <c r="X225" s="15">
        <f>+ROUND(E$3*EXP(N225),6)</f>
        <v>1.1385000000000001</v>
      </c>
      <c r="Y225" s="15">
        <f>+ROUND(F$3*EXP(O225),6)</f>
        <v>4.9139929999999996</v>
      </c>
      <c r="Z225" s="15">
        <f>+ROUND(G$3*EXP(P225),6)</f>
        <v>4.3527880000000003</v>
      </c>
      <c r="AA225" s="15">
        <f>+ROUND(H$3*EXP(Q225),6)</f>
        <v>3.3824169999999998</v>
      </c>
      <c r="AB225" s="1">
        <v>223</v>
      </c>
      <c r="AC225" s="5" t="s">
        <v>224</v>
      </c>
      <c r="AD225" s="16">
        <f>+ROUND(Pozisyon!$U$4*('Data - Simülasyon- P&amp;L'!U225-'Data - Simülasyon- P&amp;L'!B$3),6)</f>
        <v>-4656.5280000000002</v>
      </c>
      <c r="AE225" s="16">
        <f>+ROUND(Pozisyon!$U$5*('Data - Simülasyon- P&amp;L'!V225-'Data - Simülasyon- P&amp;L'!C$3),6)</f>
        <v>2980.9250000000002</v>
      </c>
      <c r="AF225" s="16">
        <f>+ROUND(Pozisyon!$U$6*('Data - Simülasyon- P&amp;L'!W225-'Data - Simülasyon- P&amp;L'!D$3),6)</f>
        <v>-1298.45625</v>
      </c>
      <c r="AG225" s="16">
        <f>+ROUND(Pozisyon!$U$7*('Data - Simülasyon- P&amp;L'!X225-'Data - Simülasyon- P&amp;L'!E$3),6)</f>
        <v>-4059.5</v>
      </c>
      <c r="AH225" s="16">
        <f>+ROUND(Pozisyon!$U$8*('Data - Simülasyon- P&amp;L'!Y225-'Data - Simülasyon- P&amp;L'!F$3),6)</f>
        <v>-14125.498</v>
      </c>
      <c r="AI225" s="16">
        <f>+ROUND(Pozisyon!$U$9*('Data - Simülasyon- P&amp;L'!Z225-'Data - Simülasyon- P&amp;L'!G$3),6)</f>
        <v>6859.1880000000001</v>
      </c>
      <c r="AJ225" s="16">
        <f>+ROUND(Pozisyon!$U$10*('Data - Simülasyon- P&amp;L'!AA225-'Data - Simülasyon- P&amp;L'!H$3),6)</f>
        <v>-13191.633</v>
      </c>
      <c r="AK225" s="16">
        <f>+SUM(AD225:AJ225)</f>
        <v>-27491.502249999998</v>
      </c>
      <c r="AL225" s="16">
        <f t="shared" si="0"/>
        <v>88165.477749999991</v>
      </c>
    </row>
    <row r="226" spans="1:38" ht="15" thickBot="1" x14ac:dyDescent="0.35">
      <c r="A226" s="5" t="s">
        <v>507</v>
      </c>
      <c r="B226" s="6">
        <v>7.05</v>
      </c>
      <c r="C226" s="5">
        <v>9.41</v>
      </c>
      <c r="D226" s="6">
        <v>4</v>
      </c>
      <c r="E226" s="5">
        <v>1</v>
      </c>
      <c r="F226" s="5">
        <v>6.79</v>
      </c>
      <c r="G226" s="5">
        <v>3.8</v>
      </c>
      <c r="H226" s="5">
        <v>3.64</v>
      </c>
      <c r="J226" s="5" t="s">
        <v>507</v>
      </c>
      <c r="K226" s="11">
        <f>+ROUND(LN(B226/B227),6)</f>
        <v>2.8410000000000002E-3</v>
      </c>
      <c r="L226" s="11">
        <f>+ROUND(LN(C226/C227),6)</f>
        <v>-6.3559999999999997E-3</v>
      </c>
      <c r="M226" s="11">
        <f>+ROUND(LN(D226/D227),6)</f>
        <v>-1.4888999999999999E-2</v>
      </c>
      <c r="N226" s="11">
        <f>+ROUND(LN(E226/E227),6)</f>
        <v>-2.9558999999999998E-2</v>
      </c>
      <c r="O226" s="11">
        <f>+ROUND(LN(F226/F227),6)</f>
        <v>-8.7980000000000003E-3</v>
      </c>
      <c r="P226" s="11">
        <f>+ROUND(LN(G226/G227),6)</f>
        <v>1.0581999999999999E-2</v>
      </c>
      <c r="Q226" s="11">
        <f>+ROUND(LN(H226/H227),6)</f>
        <v>5.5100000000000001E-3</v>
      </c>
      <c r="R226" s="3"/>
      <c r="T226" s="5" t="s">
        <v>225</v>
      </c>
      <c r="U226" s="15">
        <f>+ROUND(B$3*EXP(K226),6)</f>
        <v>7.6216220000000003</v>
      </c>
      <c r="V226" s="15">
        <f>+ROUND(C$3*EXP(L226),6)</f>
        <v>9.2907600000000006</v>
      </c>
      <c r="W226" s="15">
        <f>+ROUND(D$3*EXP(M226),6)</f>
        <v>2.729063</v>
      </c>
      <c r="X226" s="15">
        <f>+ROUND(E$3*EXP(N226),6)</f>
        <v>1.1165050000000001</v>
      </c>
      <c r="Y226" s="15">
        <f>+ROUND(F$3*EXP(O226),6)</f>
        <v>4.9363780000000004</v>
      </c>
      <c r="Z226" s="15">
        <f>+ROUND(G$3*EXP(P226),6)</f>
        <v>4.3760630000000003</v>
      </c>
      <c r="AA226" s="15">
        <f>+ROUND(H$3*EXP(Q226),6)</f>
        <v>3.4388960000000002</v>
      </c>
      <c r="AB226" s="1">
        <v>224</v>
      </c>
      <c r="AC226" s="5" t="s">
        <v>225</v>
      </c>
      <c r="AD226" s="16">
        <f>+ROUND(Pozisyon!$U$4*('Data - Simülasyon- P&amp;L'!U226-'Data - Simülasyon- P&amp;L'!B$3),6)</f>
        <v>3113.5680000000002</v>
      </c>
      <c r="AE226" s="16">
        <f>+ROUND(Pozisyon!$U$5*('Data - Simülasyon- P&amp;L'!V226-'Data - Simülasyon- P&amp;L'!C$3),6)</f>
        <v>-1481</v>
      </c>
      <c r="AF226" s="16">
        <f>+ROUND(Pozisyon!$U$6*('Data - Simülasyon- P&amp;L'!W226-'Data - Simülasyon- P&amp;L'!D$3),6)</f>
        <v>-767.56875000000002</v>
      </c>
      <c r="AG226" s="16">
        <f>+ROUND(Pozisyon!$U$7*('Data - Simülasyon- P&amp;L'!X226-'Data - Simülasyon- P&amp;L'!E$3),6)</f>
        <v>-11823.735000000001</v>
      </c>
      <c r="AH226" s="16">
        <f>+ROUND(Pozisyon!$U$8*('Data - Simülasyon- P&amp;L'!Y226-'Data - Simülasyon- P&amp;L'!F$3),6)</f>
        <v>-9335.1080000000002</v>
      </c>
      <c r="AI226" s="16">
        <f>+ROUND(Pozisyon!$U$9*('Data - Simülasyon- P&amp;L'!Z226-'Data - Simülasyon- P&amp;L'!G$3),6)</f>
        <v>13864.963</v>
      </c>
      <c r="AJ226" s="16">
        <f>+ROUND(Pozisyon!$U$10*('Data - Simülasyon- P&amp;L'!AA226-'Data - Simülasyon- P&amp;L'!H$3),6)</f>
        <v>6632.4960000000001</v>
      </c>
      <c r="AK226" s="16">
        <f>+SUM(AD226:AJ226)</f>
        <v>203.61524999999983</v>
      </c>
      <c r="AL226" s="16">
        <f t="shared" si="0"/>
        <v>89400.239250000013</v>
      </c>
    </row>
    <row r="227" spans="1:38" ht="15" thickBot="1" x14ac:dyDescent="0.35">
      <c r="A227" s="5" t="s">
        <v>508</v>
      </c>
      <c r="B227" s="6">
        <v>7.03</v>
      </c>
      <c r="C227" s="5">
        <v>9.4700000000000006</v>
      </c>
      <c r="D227" s="6">
        <v>4.0599999999999996</v>
      </c>
      <c r="E227" s="5">
        <v>1.03</v>
      </c>
      <c r="F227" s="5">
        <v>6.85</v>
      </c>
      <c r="G227" s="5">
        <v>3.76</v>
      </c>
      <c r="H227" s="5">
        <v>3.62</v>
      </c>
      <c r="J227" s="5" t="s">
        <v>508</v>
      </c>
      <c r="K227" s="11">
        <f>+ROUND(LN(B227/B228),6)</f>
        <v>-5.6740000000000002E-3</v>
      </c>
      <c r="L227" s="11">
        <f>+ROUND(LN(C227/C228),6)</f>
        <v>-1.5715E-2</v>
      </c>
      <c r="M227" s="11">
        <f>+ROUND(LN(D227/D228),6)</f>
        <v>-4.914E-3</v>
      </c>
      <c r="N227" s="11">
        <f>+ROUND(LN(E227/E228),6)</f>
        <v>-9.6620000000000004E-3</v>
      </c>
      <c r="O227" s="11">
        <f>+ROUND(LN(F227/F228),6)</f>
        <v>-1.459E-3</v>
      </c>
      <c r="P227" s="11">
        <f>+ROUND(LN(G227/G228),6)</f>
        <v>-2.6559999999999999E-3</v>
      </c>
      <c r="Q227" s="11">
        <f>+ROUND(LN(H227/H228),6)</f>
        <v>2.7659999999999998E-3</v>
      </c>
      <c r="R227" s="3"/>
      <c r="T227" s="5" t="s">
        <v>226</v>
      </c>
      <c r="U227" s="15">
        <f>+ROUND(B$3*EXP(K227),6)</f>
        <v>7.5570000000000004</v>
      </c>
      <c r="V227" s="15">
        <f>+ROUND(C$3*EXP(L227),6)</f>
        <v>9.2042129999999993</v>
      </c>
      <c r="W227" s="15">
        <f>+ROUND(D$3*EXP(M227),6)</f>
        <v>2.7564220000000001</v>
      </c>
      <c r="X227" s="15">
        <f>+ROUND(E$3*EXP(N227),6)</f>
        <v>1.1389419999999999</v>
      </c>
      <c r="Y227" s="15">
        <f>+ROUND(F$3*EXP(O227),6)</f>
        <v>4.9727389999999998</v>
      </c>
      <c r="Z227" s="15">
        <f>+ROUND(G$3*EXP(P227),6)</f>
        <v>4.3185149999999997</v>
      </c>
      <c r="AA227" s="15">
        <f>+ROUND(H$3*EXP(Q227),6)</f>
        <v>3.4294730000000002</v>
      </c>
      <c r="AB227" s="1">
        <v>225</v>
      </c>
      <c r="AC227" s="5" t="s">
        <v>226</v>
      </c>
      <c r="AD227" s="16">
        <f>+ROUND(Pozisyon!$U$4*('Data - Simülasyon- P&amp;L'!U227-'Data - Simülasyon- P&amp;L'!B$3),6)</f>
        <v>-6192</v>
      </c>
      <c r="AE227" s="16">
        <f>+ROUND(Pozisyon!$U$5*('Data - Simülasyon- P&amp;L'!V227-'Data - Simülasyon- P&amp;L'!C$3),6)</f>
        <v>-3644.6750000000002</v>
      </c>
      <c r="AF227" s="16">
        <f>+ROUND(Pozisyon!$U$6*('Data - Simülasyon- P&amp;L'!W227-'Data - Simülasyon- P&amp;L'!D$3),6)</f>
        <v>-254.58750000000001</v>
      </c>
      <c r="AG227" s="16">
        <f>+ROUND(Pozisyon!$U$7*('Data - Simülasyon- P&amp;L'!X227-'Data - Simülasyon- P&amp;L'!E$3),6)</f>
        <v>-3903.4740000000002</v>
      </c>
      <c r="AH227" s="16">
        <f>+ROUND(Pozisyon!$U$8*('Data - Simülasyon- P&amp;L'!Y227-'Data - Simülasyon- P&amp;L'!F$3),6)</f>
        <v>-1553.854</v>
      </c>
      <c r="AI227" s="16">
        <f>+ROUND(Pozisyon!$U$9*('Data - Simülasyon- P&amp;L'!Z227-'Data - Simülasyon- P&amp;L'!G$3),6)</f>
        <v>-3456.9850000000001</v>
      </c>
      <c r="AJ227" s="16">
        <f>+ROUND(Pozisyon!$U$10*('Data - Simülasyon- P&amp;L'!AA227-'Data - Simülasyon- P&amp;L'!H$3),6)</f>
        <v>3325.0230000000001</v>
      </c>
      <c r="AK227" s="16">
        <f>+SUM(AD227:AJ227)</f>
        <v>-15680.552499999998</v>
      </c>
      <c r="AL227" s="16">
        <f t="shared" si="0"/>
        <v>91083.883999999991</v>
      </c>
    </row>
    <row r="228" spans="1:38" ht="15" thickBot="1" x14ac:dyDescent="0.35">
      <c r="A228" s="5" t="s">
        <v>509</v>
      </c>
      <c r="B228" s="6">
        <v>7.07</v>
      </c>
      <c r="C228" s="5">
        <v>9.6199999999999992</v>
      </c>
      <c r="D228" s="6">
        <v>4.08</v>
      </c>
      <c r="E228" s="5">
        <v>1.04</v>
      </c>
      <c r="F228" s="5">
        <v>6.86</v>
      </c>
      <c r="G228" s="5">
        <v>3.77</v>
      </c>
      <c r="H228" s="5">
        <v>3.61</v>
      </c>
      <c r="J228" s="5" t="s">
        <v>509</v>
      </c>
      <c r="K228" s="11">
        <f>+ROUND(LN(B228/B229),6)</f>
        <v>-1.413E-3</v>
      </c>
      <c r="L228" s="11">
        <f>+ROUND(LN(C228/C229),6)</f>
        <v>-1.2397E-2</v>
      </c>
      <c r="M228" s="11">
        <f>+ROUND(LN(D228/D229),6)</f>
        <v>0</v>
      </c>
      <c r="N228" s="11">
        <f>+ROUND(LN(E228/E229),6)</f>
        <v>-1.9047999999999999E-2</v>
      </c>
      <c r="O228" s="11">
        <f>+ROUND(LN(F228/F229),6)</f>
        <v>-7.2620000000000002E-3</v>
      </c>
      <c r="P228" s="11">
        <f>+ROUND(LN(G228/G229),6)</f>
        <v>-5.2909999999999997E-3</v>
      </c>
      <c r="Q228" s="11">
        <f>+ROUND(LN(H228/H229),6)</f>
        <v>-5.5250000000000004E-3</v>
      </c>
      <c r="R228" s="3"/>
      <c r="T228" s="5" t="s">
        <v>227</v>
      </c>
      <c r="U228" s="15">
        <f>+ROUND(B$3*EXP(K228),6)</f>
        <v>7.5892689999999998</v>
      </c>
      <c r="V228" s="15">
        <f>+ROUND(C$3*EXP(L228),6)</f>
        <v>9.2348040000000005</v>
      </c>
      <c r="W228" s="15">
        <f>+ROUND(D$3*EXP(M228),6)</f>
        <v>2.77</v>
      </c>
      <c r="X228" s="15">
        <f>+ROUND(E$3*EXP(N228),6)</f>
        <v>1.1283019999999999</v>
      </c>
      <c r="Y228" s="15">
        <f>+ROUND(F$3*EXP(O228),6)</f>
        <v>4.9439659999999996</v>
      </c>
      <c r="Z228" s="15">
        <f>+ROUND(G$3*EXP(P228),6)</f>
        <v>4.30715</v>
      </c>
      <c r="AA228" s="15">
        <f>+ROUND(H$3*EXP(Q228),6)</f>
        <v>3.401157</v>
      </c>
      <c r="AB228" s="1">
        <v>226</v>
      </c>
      <c r="AC228" s="5" t="s">
        <v>227</v>
      </c>
      <c r="AD228" s="16">
        <f>+ROUND(Pozisyon!$U$4*('Data - Simülasyon- P&amp;L'!U228-'Data - Simülasyon- P&amp;L'!B$3),6)</f>
        <v>-1545.2639999999999</v>
      </c>
      <c r="AE228" s="16">
        <f>+ROUND(Pozisyon!$U$5*('Data - Simülasyon- P&amp;L'!V228-'Data - Simülasyon- P&amp;L'!C$3),6)</f>
        <v>-2879.9</v>
      </c>
      <c r="AF228" s="16">
        <f>+ROUND(Pozisyon!$U$6*('Data - Simülasyon- P&amp;L'!W228-'Data - Simülasyon- P&amp;L'!D$3),6)</f>
        <v>0</v>
      </c>
      <c r="AG228" s="16">
        <f>+ROUND(Pozisyon!$U$7*('Data - Simülasyon- P&amp;L'!X228-'Data - Simülasyon- P&amp;L'!E$3),6)</f>
        <v>-7659.3940000000002</v>
      </c>
      <c r="AH228" s="16">
        <f>+ROUND(Pozisyon!$U$8*('Data - Simülasyon- P&amp;L'!Y228-'Data - Simülasyon- P&amp;L'!F$3),6)</f>
        <v>-7711.2759999999998</v>
      </c>
      <c r="AI228" s="16">
        <f>+ROUND(Pozisyon!$U$9*('Data - Simülasyon- P&amp;L'!Z228-'Data - Simülasyon- P&amp;L'!G$3),6)</f>
        <v>-6877.85</v>
      </c>
      <c r="AJ228" s="16">
        <f>+ROUND(Pozisyon!$U$10*('Data - Simülasyon- P&amp;L'!AA228-'Data - Simülasyon- P&amp;L'!H$3),6)</f>
        <v>-6613.893</v>
      </c>
      <c r="AK228" s="16">
        <f>+SUM(AD228:AJ228)</f>
        <v>-33287.577000000005</v>
      </c>
      <c r="AL228" s="16">
        <f t="shared" si="0"/>
        <v>95609.766999999993</v>
      </c>
    </row>
    <row r="229" spans="1:38" ht="15" thickBot="1" x14ac:dyDescent="0.35">
      <c r="A229" s="5" t="s">
        <v>510</v>
      </c>
      <c r="B229" s="6">
        <v>7.08</v>
      </c>
      <c r="C229" s="5">
        <v>9.74</v>
      </c>
      <c r="D229" s="6">
        <v>4.08</v>
      </c>
      <c r="E229" s="5">
        <v>1.06</v>
      </c>
      <c r="F229" s="5">
        <v>6.91</v>
      </c>
      <c r="G229" s="5">
        <v>3.79</v>
      </c>
      <c r="H229" s="5">
        <v>3.63</v>
      </c>
      <c r="J229" s="5" t="s">
        <v>510</v>
      </c>
      <c r="K229" s="11">
        <f>+ROUND(LN(B229/B230),6)</f>
        <v>-4.4206000000000002E-2</v>
      </c>
      <c r="L229" s="11">
        <f>+ROUND(LN(C229/C230),6)</f>
        <v>-3.5304000000000002E-2</v>
      </c>
      <c r="M229" s="11">
        <f>+ROUND(LN(D229/D230),6)</f>
        <v>-4.8900000000000002E-3</v>
      </c>
      <c r="N229" s="11">
        <f>+ROUND(LN(E229/E230),6)</f>
        <v>-1.8692E-2</v>
      </c>
      <c r="O229" s="11">
        <f>+ROUND(LN(F229/F230),6)</f>
        <v>-4.6651999999999999E-2</v>
      </c>
      <c r="P229" s="11">
        <f>+ROUND(LN(G229/G230),6)</f>
        <v>-3.8815000000000002E-2</v>
      </c>
      <c r="Q229" s="11">
        <f>+ROUND(LN(H229/H230),6)</f>
        <v>-3.7842000000000001E-2</v>
      </c>
      <c r="R229" s="3"/>
      <c r="T229" s="5" t="s">
        <v>228</v>
      </c>
      <c r="U229" s="15">
        <f>+ROUND(B$3*EXP(K229),6)</f>
        <v>7.2713520000000003</v>
      </c>
      <c r="V229" s="15">
        <f>+ROUND(C$3*EXP(L229),6)</f>
        <v>9.0256659999999993</v>
      </c>
      <c r="W229" s="15">
        <f>+ROUND(D$3*EXP(M229),6)</f>
        <v>2.756488</v>
      </c>
      <c r="X229" s="15">
        <f>+ROUND(E$3*EXP(N229),6)</f>
        <v>1.1287039999999999</v>
      </c>
      <c r="Y229" s="15">
        <f>+ROUND(F$3*EXP(O229),6)</f>
        <v>4.7530089999999996</v>
      </c>
      <c r="Z229" s="15">
        <f>+ROUND(G$3*EXP(P229),6)</f>
        <v>4.1651509999999998</v>
      </c>
      <c r="AA229" s="15">
        <f>+ROUND(H$3*EXP(Q229),6)</f>
        <v>3.292999</v>
      </c>
      <c r="AB229" s="1">
        <v>227</v>
      </c>
      <c r="AC229" s="5" t="s">
        <v>228</v>
      </c>
      <c r="AD229" s="16">
        <f>+ROUND(Pozisyon!$U$4*('Data - Simülasyon- P&amp;L'!U229-'Data - Simülasyon- P&amp;L'!B$3),6)</f>
        <v>-47325.311999999998</v>
      </c>
      <c r="AE229" s="16">
        <f>+ROUND(Pozisyon!$U$5*('Data - Simülasyon- P&amp;L'!V229-'Data - Simülasyon- P&amp;L'!C$3),6)</f>
        <v>-8108.35</v>
      </c>
      <c r="AF229" s="16">
        <f>+ROUND(Pozisyon!$U$6*('Data - Simülasyon- P&amp;L'!W229-'Data - Simülasyon- P&amp;L'!D$3),6)</f>
        <v>-253.35</v>
      </c>
      <c r="AG229" s="16">
        <f>+ROUND(Pozisyon!$U$7*('Data - Simülasyon- P&amp;L'!X229-'Data - Simülasyon- P&amp;L'!E$3),6)</f>
        <v>-7517.4880000000003</v>
      </c>
      <c r="AH229" s="16">
        <f>+ROUND(Pozisyon!$U$8*('Data - Simülasyon- P&amp;L'!Y229-'Data - Simülasyon- P&amp;L'!F$3),6)</f>
        <v>-48576.074000000001</v>
      </c>
      <c r="AI229" s="16">
        <f>+ROUND(Pozisyon!$U$9*('Data - Simülasyon- P&amp;L'!Z229-'Data - Simülasyon- P&amp;L'!G$3),6)</f>
        <v>-49619.548999999999</v>
      </c>
      <c r="AJ229" s="16">
        <f>+ROUND(Pozisyon!$U$10*('Data - Simülasyon- P&amp;L'!AA229-'Data - Simülasyon- P&amp;L'!H$3),6)</f>
        <v>-44577.351000000002</v>
      </c>
      <c r="AK229" s="16">
        <f>+SUM(AD229:AJ229)</f>
        <v>-205977.47399999999</v>
      </c>
      <c r="AL229" s="16">
        <f t="shared" si="0"/>
        <v>97478.042000000016</v>
      </c>
    </row>
    <row r="230" spans="1:38" ht="15" thickBot="1" x14ac:dyDescent="0.35">
      <c r="A230" s="5" t="s">
        <v>511</v>
      </c>
      <c r="B230" s="6">
        <v>7.4</v>
      </c>
      <c r="C230" s="5">
        <v>10.09</v>
      </c>
      <c r="D230" s="6">
        <v>4.0999999999999996</v>
      </c>
      <c r="E230" s="5">
        <v>1.08</v>
      </c>
      <c r="F230" s="5">
        <v>7.24</v>
      </c>
      <c r="G230" s="5">
        <v>3.94</v>
      </c>
      <c r="H230" s="5">
        <v>3.77</v>
      </c>
      <c r="J230" s="5" t="s">
        <v>511</v>
      </c>
      <c r="K230" s="11">
        <f>+ROUND(LN(B230/B231),6)</f>
        <v>-2.699E-3</v>
      </c>
      <c r="L230" s="11">
        <f>+ROUND(LN(C230/C231),6)</f>
        <v>-9.9099999999999991E-4</v>
      </c>
      <c r="M230" s="11">
        <f>+ROUND(LN(D230/D231),6)</f>
        <v>0</v>
      </c>
      <c r="N230" s="11">
        <f>+ROUND(LN(E230/E231),6)</f>
        <v>9.3019999999999995E-3</v>
      </c>
      <c r="O230" s="11">
        <f>+ROUND(LN(F230/F231),6)</f>
        <v>-4.1349999999999998E-3</v>
      </c>
      <c r="P230" s="11">
        <f>+ROUND(LN(G230/G231),6)</f>
        <v>-1.0101000000000001E-2</v>
      </c>
      <c r="Q230" s="11">
        <f>+ROUND(LN(H230/H231),6)</f>
        <v>-3.1334000000000001E-2</v>
      </c>
      <c r="R230" s="3"/>
      <c r="T230" s="5" t="s">
        <v>229</v>
      </c>
      <c r="U230" s="15">
        <f>+ROUND(B$3*EXP(K230),6)</f>
        <v>7.5795149999999998</v>
      </c>
      <c r="V230" s="15">
        <f>+ROUND(C$3*EXP(L230),6)</f>
        <v>9.3407389999999992</v>
      </c>
      <c r="W230" s="15">
        <f>+ROUND(D$3*EXP(M230),6)</f>
        <v>2.77</v>
      </c>
      <c r="X230" s="15">
        <f>+ROUND(E$3*EXP(N230),6)</f>
        <v>1.160747</v>
      </c>
      <c r="Y230" s="15">
        <f>+ROUND(F$3*EXP(O230),6)</f>
        <v>4.9594500000000004</v>
      </c>
      <c r="Z230" s="15">
        <f>+ROUND(G$3*EXP(P230),6)</f>
        <v>4.2864829999999996</v>
      </c>
      <c r="AA230" s="15">
        <f>+ROUND(H$3*EXP(Q230),6)</f>
        <v>3.3144990000000001</v>
      </c>
      <c r="AB230" s="1">
        <v>228</v>
      </c>
      <c r="AC230" s="5" t="s">
        <v>229</v>
      </c>
      <c r="AD230" s="16">
        <f>+ROUND(Pozisyon!$U$4*('Data - Simülasyon- P&amp;L'!U230-'Data - Simülasyon- P&amp;L'!B$3),6)</f>
        <v>-2949.84</v>
      </c>
      <c r="AE230" s="16">
        <f>+ROUND(Pozisyon!$U$5*('Data - Simülasyon- P&amp;L'!V230-'Data - Simülasyon- P&amp;L'!C$3),6)</f>
        <v>-231.52500000000001</v>
      </c>
      <c r="AF230" s="16">
        <f>+ROUND(Pozisyon!$U$6*('Data - Simülasyon- P&amp;L'!W230-'Data - Simülasyon- P&amp;L'!D$3),6)</f>
        <v>0</v>
      </c>
      <c r="AG230" s="16">
        <f>+ROUND(Pozisyon!$U$7*('Data - Simülasyon- P&amp;L'!X230-'Data - Simülasyon- P&amp;L'!E$3),6)</f>
        <v>3793.6909999999998</v>
      </c>
      <c r="AH230" s="16">
        <f>+ROUND(Pozisyon!$U$8*('Data - Simülasyon- P&amp;L'!Y230-'Data - Simülasyon- P&amp;L'!F$3),6)</f>
        <v>-4397.7</v>
      </c>
      <c r="AI230" s="16">
        <f>+ROUND(Pozisyon!$U$9*('Data - Simülasyon- P&amp;L'!Z230-'Data - Simülasyon- P&amp;L'!G$3),6)</f>
        <v>-13098.617</v>
      </c>
      <c r="AJ230" s="16">
        <f>+ROUND(Pozisyon!$U$10*('Data - Simülasyon- P&amp;L'!AA230-'Data - Simülasyon- P&amp;L'!H$3),6)</f>
        <v>-37030.851000000002</v>
      </c>
      <c r="AK230" s="16">
        <f>+SUM(AD230:AJ230)</f>
        <v>-53914.842000000004</v>
      </c>
      <c r="AL230" s="16">
        <f t="shared" si="0"/>
        <v>98356.697749999992</v>
      </c>
    </row>
    <row r="231" spans="1:38" ht="15" thickBot="1" x14ac:dyDescent="0.35">
      <c r="A231" s="5" t="s">
        <v>512</v>
      </c>
      <c r="B231" s="6">
        <v>7.42</v>
      </c>
      <c r="C231" s="5">
        <v>10.1</v>
      </c>
      <c r="D231" s="6">
        <v>4.0999999999999996</v>
      </c>
      <c r="E231" s="5">
        <v>1.07</v>
      </c>
      <c r="F231" s="5">
        <v>7.27</v>
      </c>
      <c r="G231" s="5">
        <v>3.98</v>
      </c>
      <c r="H231" s="5">
        <v>3.89</v>
      </c>
      <c r="J231" s="5" t="s">
        <v>512</v>
      </c>
      <c r="K231" s="11">
        <f>+ROUND(LN(B231/B232),6)</f>
        <v>1.3568999999999999E-2</v>
      </c>
      <c r="L231" s="11">
        <f>+ROUND(LN(C231/C232),6)</f>
        <v>1.8991000000000001E-2</v>
      </c>
      <c r="M231" s="11">
        <f>+ROUND(LN(D231/D232),6)</f>
        <v>1.227E-2</v>
      </c>
      <c r="N231" s="11">
        <f>+ROUND(LN(E231/E232),6)</f>
        <v>9.3900000000000008E-3</v>
      </c>
      <c r="O231" s="11">
        <f>+ROUND(LN(F231/F232),6)</f>
        <v>4.1349999999999998E-3</v>
      </c>
      <c r="P231" s="11">
        <f>+ROUND(LN(G231/G232),6)</f>
        <v>3.5809000000000001E-2</v>
      </c>
      <c r="Q231" s="11">
        <f>+ROUND(LN(H231/H232),6)</f>
        <v>3.1334000000000001E-2</v>
      </c>
      <c r="R231" s="3"/>
      <c r="T231" s="5" t="s">
        <v>230</v>
      </c>
      <c r="U231" s="15">
        <f>+ROUND(B$3*EXP(K231),6)</f>
        <v>7.7038270000000004</v>
      </c>
      <c r="V231" s="15">
        <f>+ROUND(C$3*EXP(L231),6)</f>
        <v>9.5292630000000003</v>
      </c>
      <c r="W231" s="15">
        <f>+ROUND(D$3*EXP(M231),6)</f>
        <v>2.8041969999999998</v>
      </c>
      <c r="X231" s="15">
        <f>+ROUND(E$3*EXP(N231),6)</f>
        <v>1.160849</v>
      </c>
      <c r="Y231" s="15">
        <f>+ROUND(F$3*EXP(O231),6)</f>
        <v>5.0006349999999999</v>
      </c>
      <c r="Z231" s="15">
        <f>+ROUND(G$3*EXP(P231),6)</f>
        <v>4.4878629999999999</v>
      </c>
      <c r="AA231" s="15">
        <f>+ROUND(H$3*EXP(Q231),6)</f>
        <v>3.5288590000000002</v>
      </c>
      <c r="AB231" s="1">
        <v>229</v>
      </c>
      <c r="AC231" s="5" t="s">
        <v>230</v>
      </c>
      <c r="AD231" s="16">
        <f>+ROUND(Pozisyon!$U$4*('Data - Simülasyon- P&amp;L'!U231-'Data - Simülasyon- P&amp;L'!B$3),6)</f>
        <v>14951.088</v>
      </c>
      <c r="AE231" s="16">
        <f>+ROUND(Pozisyon!$U$5*('Data - Simülasyon- P&amp;L'!V231-'Data - Simülasyon- P&amp;L'!C$3),6)</f>
        <v>4481.5749999999998</v>
      </c>
      <c r="AF231" s="16">
        <f>+ROUND(Pozisyon!$U$6*('Data - Simülasyon- P&amp;L'!W231-'Data - Simülasyon- P&amp;L'!D$3),6)</f>
        <v>641.19375000000002</v>
      </c>
      <c r="AG231" s="16">
        <f>+ROUND(Pozisyon!$U$7*('Data - Simülasyon- P&amp;L'!X231-'Data - Simülasyon- P&amp;L'!E$3),6)</f>
        <v>3829.6970000000001</v>
      </c>
      <c r="AH231" s="16">
        <f>+ROUND(Pozisyon!$U$8*('Data - Simülasyon- P&amp;L'!Y231-'Data - Simülasyon- P&amp;L'!F$3),6)</f>
        <v>4415.8900000000003</v>
      </c>
      <c r="AI231" s="16">
        <f>+ROUND(Pozisyon!$U$9*('Data - Simülasyon- P&amp;L'!Z231-'Data - Simülasyon- P&amp;L'!G$3),6)</f>
        <v>47516.762999999999</v>
      </c>
      <c r="AJ231" s="16">
        <f>+ROUND(Pozisyon!$U$10*('Data - Simülasyon- P&amp;L'!AA231-'Data - Simülasyon- P&amp;L'!H$3),6)</f>
        <v>38209.508999999998</v>
      </c>
      <c r="AK231" s="16">
        <f>+SUM(AD231:AJ231)</f>
        <v>114045.71575</v>
      </c>
      <c r="AL231" s="16">
        <f t="shared" si="0"/>
        <v>101805.177</v>
      </c>
    </row>
    <row r="232" spans="1:38" ht="15" thickBot="1" x14ac:dyDescent="0.35">
      <c r="A232" s="5" t="s">
        <v>513</v>
      </c>
      <c r="B232" s="6">
        <v>7.32</v>
      </c>
      <c r="C232" s="5">
        <v>9.91</v>
      </c>
      <c r="D232" s="6">
        <v>4.05</v>
      </c>
      <c r="E232" s="5">
        <v>1.06</v>
      </c>
      <c r="F232" s="5">
        <v>7.24</v>
      </c>
      <c r="G232" s="5">
        <v>3.84</v>
      </c>
      <c r="H232" s="5">
        <v>3.77</v>
      </c>
      <c r="J232" s="5" t="s">
        <v>513</v>
      </c>
      <c r="K232" s="11">
        <f>+ROUND(LN(B232/B233),6)</f>
        <v>-8.1630000000000001E-3</v>
      </c>
      <c r="L232" s="11">
        <f>+ROUND(LN(C232/C233),6)</f>
        <v>-1.3032999999999999E-2</v>
      </c>
      <c r="M232" s="11">
        <f>+ROUND(LN(D232/D233),6)</f>
        <v>7.4349999999999998E-3</v>
      </c>
      <c r="N232" s="11">
        <f>+ROUND(LN(E232/E233),6)</f>
        <v>-2.7909E-2</v>
      </c>
      <c r="O232" s="11">
        <f>+ROUND(LN(F232/F233),6)</f>
        <v>-5.5100000000000001E-3</v>
      </c>
      <c r="P232" s="11">
        <f>+ROUND(LN(G232/G233),6)</f>
        <v>1.3106E-2</v>
      </c>
      <c r="Q232" s="11">
        <f>+ROUND(LN(H232/H233),6)</f>
        <v>1.3351E-2</v>
      </c>
      <c r="R232" s="3"/>
      <c r="T232" s="5" t="s">
        <v>231</v>
      </c>
      <c r="U232" s="15">
        <f>+ROUND(B$3*EXP(K232),6)</f>
        <v>7.538214</v>
      </c>
      <c r="V232" s="15">
        <f>+ROUND(C$3*EXP(L232),6)</f>
        <v>9.2289320000000004</v>
      </c>
      <c r="W232" s="15">
        <f>+ROUND(D$3*EXP(M232),6)</f>
        <v>2.7906719999999998</v>
      </c>
      <c r="X232" s="15">
        <f>+ROUND(E$3*EXP(N232),6)</f>
        <v>1.1183479999999999</v>
      </c>
      <c r="Y232" s="15">
        <f>+ROUND(F$3*EXP(O232),6)</f>
        <v>4.952636</v>
      </c>
      <c r="Z232" s="15">
        <f>+ROUND(G$3*EXP(P232),6)</f>
        <v>4.3871219999999997</v>
      </c>
      <c r="AA232" s="15">
        <f>+ROUND(H$3*EXP(Q232),6)</f>
        <v>3.465967</v>
      </c>
      <c r="AB232" s="1">
        <v>230</v>
      </c>
      <c r="AC232" s="5" t="s">
        <v>231</v>
      </c>
      <c r="AD232" s="16">
        <f>+ROUND(Pozisyon!$U$4*('Data - Simülasyon- P&amp;L'!U232-'Data - Simülasyon- P&amp;L'!B$3),6)</f>
        <v>-8897.1839999999993</v>
      </c>
      <c r="AE232" s="16">
        <f>+ROUND(Pozisyon!$U$5*('Data - Simülasyon- P&amp;L'!V232-'Data - Simülasyon- P&amp;L'!C$3),6)</f>
        <v>-3026.7</v>
      </c>
      <c r="AF232" s="16">
        <f>+ROUND(Pozisyon!$U$6*('Data - Simülasyon- P&amp;L'!W232-'Data - Simülasyon- P&amp;L'!D$3),6)</f>
        <v>387.6</v>
      </c>
      <c r="AG232" s="16">
        <f>+ROUND(Pozisyon!$U$7*('Data - Simülasyon- P&amp;L'!X232-'Data - Simülasyon- P&amp;L'!E$3),6)</f>
        <v>-11173.156000000001</v>
      </c>
      <c r="AH232" s="16">
        <f>+ROUND(Pozisyon!$U$8*('Data - Simülasyon- P&amp;L'!Y232-'Data - Simülasyon- P&amp;L'!F$3),6)</f>
        <v>-5855.8959999999997</v>
      </c>
      <c r="AI232" s="16">
        <f>+ROUND(Pozisyon!$U$9*('Data - Simülasyon- P&amp;L'!Z232-'Data - Simülasyon- P&amp;L'!G$3),6)</f>
        <v>17193.722000000002</v>
      </c>
      <c r="AJ232" s="16">
        <f>+ROUND(Pozisyon!$U$10*('Data - Simülasyon- P&amp;L'!AA232-'Data - Simülasyon- P&amp;L'!H$3),6)</f>
        <v>16134.416999999999</v>
      </c>
      <c r="AK232" s="16">
        <f>+SUM(AD232:AJ232)</f>
        <v>4762.8030000000017</v>
      </c>
      <c r="AL232" s="16">
        <f t="shared" si="0"/>
        <v>103301.1</v>
      </c>
    </row>
    <row r="233" spans="1:38" ht="15" thickBot="1" x14ac:dyDescent="0.35">
      <c r="A233" s="5" t="s">
        <v>514</v>
      </c>
      <c r="B233" s="6">
        <v>7.38</v>
      </c>
      <c r="C233" s="5">
        <v>10.039999999999999</v>
      </c>
      <c r="D233" s="6">
        <v>4.0199999999999996</v>
      </c>
      <c r="E233" s="5">
        <v>1.0900000000000001</v>
      </c>
      <c r="F233" s="5">
        <v>7.28</v>
      </c>
      <c r="G233" s="5">
        <v>3.79</v>
      </c>
      <c r="H233" s="5">
        <v>3.72</v>
      </c>
      <c r="J233" s="5" t="s">
        <v>514</v>
      </c>
      <c r="K233" s="11">
        <f>+ROUND(LN(B233/B234),6)</f>
        <v>0</v>
      </c>
      <c r="L233" s="11">
        <f>+ROUND(LN(C233/C234),6)</f>
        <v>0</v>
      </c>
      <c r="M233" s="11">
        <f>+ROUND(LN(D233/D234),6)</f>
        <v>0</v>
      </c>
      <c r="N233" s="11">
        <f>+ROUND(LN(E233/E234),6)</f>
        <v>0</v>
      </c>
      <c r="O233" s="11">
        <f>+ROUND(LN(F233/F234),6)</f>
        <v>0</v>
      </c>
      <c r="P233" s="11">
        <f>+ROUND(LN(G233/G234),6)</f>
        <v>0</v>
      </c>
      <c r="Q233" s="11">
        <f>+ROUND(LN(H233/H234),6)</f>
        <v>0</v>
      </c>
      <c r="R233" s="3"/>
      <c r="T233" s="5" t="s">
        <v>232</v>
      </c>
      <c r="U233" s="15">
        <f>+ROUND(B$3*EXP(K233),6)</f>
        <v>7.6</v>
      </c>
      <c r="V233" s="15">
        <f>+ROUND(C$3*EXP(L233),6)</f>
        <v>9.35</v>
      </c>
      <c r="W233" s="15">
        <f>+ROUND(D$3*EXP(M233),6)</f>
        <v>2.77</v>
      </c>
      <c r="X233" s="15">
        <f>+ROUND(E$3*EXP(N233),6)</f>
        <v>1.1499999999999999</v>
      </c>
      <c r="Y233" s="15">
        <f>+ROUND(F$3*EXP(O233),6)</f>
        <v>4.9800000000000004</v>
      </c>
      <c r="Z233" s="15">
        <f>+ROUND(G$3*EXP(P233),6)</f>
        <v>4.33</v>
      </c>
      <c r="AA233" s="15">
        <f>+ROUND(H$3*EXP(Q233),6)</f>
        <v>3.42</v>
      </c>
      <c r="AB233" s="1">
        <v>231</v>
      </c>
      <c r="AC233" s="5" t="s">
        <v>232</v>
      </c>
      <c r="AD233" s="16">
        <f>+ROUND(Pozisyon!$U$4*('Data - Simülasyon- P&amp;L'!U233-'Data - Simülasyon- P&amp;L'!B$3),6)</f>
        <v>0</v>
      </c>
      <c r="AE233" s="16">
        <f>+ROUND(Pozisyon!$U$5*('Data - Simülasyon- P&amp;L'!V233-'Data - Simülasyon- P&amp;L'!C$3),6)</f>
        <v>0</v>
      </c>
      <c r="AF233" s="16">
        <f>+ROUND(Pozisyon!$U$6*('Data - Simülasyon- P&amp;L'!W233-'Data - Simülasyon- P&amp;L'!D$3),6)</f>
        <v>0</v>
      </c>
      <c r="AG233" s="16">
        <f>+ROUND(Pozisyon!$U$7*('Data - Simülasyon- P&amp;L'!X233-'Data - Simülasyon- P&amp;L'!E$3),6)</f>
        <v>0</v>
      </c>
      <c r="AH233" s="16">
        <f>+ROUND(Pozisyon!$U$8*('Data - Simülasyon- P&amp;L'!Y233-'Data - Simülasyon- P&amp;L'!F$3),6)</f>
        <v>0</v>
      </c>
      <c r="AI233" s="16">
        <f>+ROUND(Pozisyon!$U$9*('Data - Simülasyon- P&amp;L'!Z233-'Data - Simülasyon- P&amp;L'!G$3),6)</f>
        <v>0</v>
      </c>
      <c r="AJ233" s="16">
        <f>+ROUND(Pozisyon!$U$10*('Data - Simülasyon- P&amp;L'!AA233-'Data - Simülasyon- P&amp;L'!H$3),6)</f>
        <v>0</v>
      </c>
      <c r="AK233" s="16">
        <f>+SUM(AD233:AJ233)</f>
        <v>0</v>
      </c>
      <c r="AL233" s="16">
        <f t="shared" si="0"/>
        <v>105356.28799999999</v>
      </c>
    </row>
    <row r="234" spans="1:38" ht="15" thickBot="1" x14ac:dyDescent="0.35">
      <c r="A234" s="5" t="s">
        <v>515</v>
      </c>
      <c r="B234" s="6">
        <v>7.38</v>
      </c>
      <c r="C234" s="5">
        <v>10.039999999999999</v>
      </c>
      <c r="D234" s="6">
        <v>4.0199999999999996</v>
      </c>
      <c r="E234" s="5">
        <v>1.0900000000000001</v>
      </c>
      <c r="F234" s="5">
        <v>7.28</v>
      </c>
      <c r="G234" s="5">
        <v>3.79</v>
      </c>
      <c r="H234" s="5">
        <v>3.72</v>
      </c>
      <c r="J234" s="5" t="s">
        <v>515</v>
      </c>
      <c r="K234" s="11">
        <f>+ROUND(LN(B234/B235),6)</f>
        <v>-5.4050000000000001E-3</v>
      </c>
      <c r="L234" s="11">
        <f>+ROUND(LN(C234/C235),6)</f>
        <v>-1.3847999999999999E-2</v>
      </c>
      <c r="M234" s="11">
        <f>+ROUND(LN(D234/D235),6)</f>
        <v>-4.9630000000000004E-3</v>
      </c>
      <c r="N234" s="11">
        <f>+ROUND(LN(E234/E235),6)</f>
        <v>-9.1319999999999995E-3</v>
      </c>
      <c r="O234" s="11">
        <f>+ROUND(LN(F234/F235),6)</f>
        <v>1.3749999999999999E-3</v>
      </c>
      <c r="P234" s="11">
        <f>+ROUND(LN(G234/G235),6)</f>
        <v>7.9469999999999992E-3</v>
      </c>
      <c r="Q234" s="11">
        <f>+ROUND(LN(H234/H235),6)</f>
        <v>8.097E-3</v>
      </c>
      <c r="R234" s="3"/>
      <c r="T234" s="5" t="s">
        <v>233</v>
      </c>
      <c r="U234" s="15">
        <f>+ROUND(B$3*EXP(K234),6)</f>
        <v>7.5590330000000003</v>
      </c>
      <c r="V234" s="15">
        <f>+ROUND(C$3*EXP(L234),6)</f>
        <v>9.2214139999999993</v>
      </c>
      <c r="W234" s="15">
        <f>+ROUND(D$3*EXP(M234),6)</f>
        <v>2.7562869999999999</v>
      </c>
      <c r="X234" s="15">
        <f>+ROUND(E$3*EXP(N234),6)</f>
        <v>1.1395459999999999</v>
      </c>
      <c r="Y234" s="15">
        <f>+ROUND(F$3*EXP(O234),6)</f>
        <v>4.9868519999999998</v>
      </c>
      <c r="Z234" s="15">
        <f>+ROUND(G$3*EXP(P234),6)</f>
        <v>4.3645480000000001</v>
      </c>
      <c r="AA234" s="15">
        <f>+ROUND(H$3*EXP(Q234),6)</f>
        <v>3.4478040000000001</v>
      </c>
      <c r="AB234" s="1">
        <v>232</v>
      </c>
      <c r="AC234" s="5" t="s">
        <v>233</v>
      </c>
      <c r="AD234" s="16">
        <f>+ROUND(Pozisyon!$U$4*('Data - Simülasyon- P&amp;L'!U234-'Data - Simülasyon- P&amp;L'!B$3),6)</f>
        <v>-5899.2479999999996</v>
      </c>
      <c r="AE234" s="16">
        <f>+ROUND(Pozisyon!$U$5*('Data - Simülasyon- P&amp;L'!V234-'Data - Simülasyon- P&amp;L'!C$3),6)</f>
        <v>-3214.65</v>
      </c>
      <c r="AF234" s="16">
        <f>+ROUND(Pozisyon!$U$6*('Data - Simülasyon- P&amp;L'!W234-'Data - Simülasyon- P&amp;L'!D$3),6)</f>
        <v>-257.11874999999998</v>
      </c>
      <c r="AG234" s="16">
        <f>+ROUND(Pozisyon!$U$7*('Data - Simülasyon- P&amp;L'!X234-'Data - Simülasyon- P&amp;L'!E$3),6)</f>
        <v>-3690.2620000000002</v>
      </c>
      <c r="AH234" s="16">
        <f>+ROUND(Pozisyon!$U$8*('Data - Simülasyon- P&amp;L'!Y234-'Data - Simülasyon- P&amp;L'!F$3),6)</f>
        <v>1466.328</v>
      </c>
      <c r="AI234" s="16">
        <f>+ROUND(Pozisyon!$U$9*('Data - Simülasyon- P&amp;L'!Z234-'Data - Simülasyon- P&amp;L'!G$3),6)</f>
        <v>10398.948</v>
      </c>
      <c r="AJ234" s="16">
        <f>+ROUND(Pozisyon!$U$10*('Data - Simülasyon- P&amp;L'!AA234-'Data - Simülasyon- P&amp;L'!H$3),6)</f>
        <v>9759.2039999999997</v>
      </c>
      <c r="AK234" s="16">
        <f>+SUM(AD234:AJ234)</f>
        <v>8563.2012500000001</v>
      </c>
      <c r="AL234" s="16">
        <f t="shared" si="0"/>
        <v>105505.587</v>
      </c>
    </row>
    <row r="235" spans="1:38" ht="15" thickBot="1" x14ac:dyDescent="0.35">
      <c r="A235" s="5" t="s">
        <v>516</v>
      </c>
      <c r="B235" s="6">
        <v>7.42</v>
      </c>
      <c r="C235" s="5">
        <v>10.18</v>
      </c>
      <c r="D235" s="6">
        <v>4.04</v>
      </c>
      <c r="E235" s="5">
        <v>1.1000000000000001</v>
      </c>
      <c r="F235" s="5">
        <v>7.27</v>
      </c>
      <c r="G235" s="5">
        <v>3.76</v>
      </c>
      <c r="H235" s="5">
        <v>3.69</v>
      </c>
      <c r="J235" s="5" t="s">
        <v>516</v>
      </c>
      <c r="K235" s="11">
        <f>+ROUND(LN(B235/B236),6)</f>
        <v>8.1189999999999995E-3</v>
      </c>
      <c r="L235" s="11">
        <f>+ROUND(LN(C235/C236),6)</f>
        <v>3.9370000000000004E-3</v>
      </c>
      <c r="M235" s="11">
        <f>+ROUND(LN(D235/D236),6)</f>
        <v>-4.9379999999999997E-3</v>
      </c>
      <c r="N235" s="11">
        <f>+ROUND(LN(E235/E236),6)</f>
        <v>1.8349000000000001E-2</v>
      </c>
      <c r="O235" s="11">
        <f>+ROUND(LN(F235/F236),6)</f>
        <v>1.3760000000000001E-3</v>
      </c>
      <c r="P235" s="11">
        <f>+ROUND(LN(G235/G236),6)</f>
        <v>5.3330000000000001E-3</v>
      </c>
      <c r="Q235" s="11">
        <f>+ROUND(LN(H235/H236),6)</f>
        <v>3.5866000000000002E-2</v>
      </c>
      <c r="R235" s="3"/>
      <c r="T235" s="5" t="s">
        <v>234</v>
      </c>
      <c r="U235" s="15">
        <f>+ROUND(B$3*EXP(K235),6)</f>
        <v>7.661956</v>
      </c>
      <c r="V235" s="15">
        <f>+ROUND(C$3*EXP(L235),6)</f>
        <v>9.3868840000000002</v>
      </c>
      <c r="W235" s="15">
        <f>+ROUND(D$3*EXP(M235),6)</f>
        <v>2.7563550000000001</v>
      </c>
      <c r="X235" s="15">
        <f>+ROUND(E$3*EXP(N235),6)</f>
        <v>1.1712959999999999</v>
      </c>
      <c r="Y235" s="15">
        <f>+ROUND(F$3*EXP(O235),6)</f>
        <v>4.9868569999999997</v>
      </c>
      <c r="Z235" s="15">
        <f>+ROUND(G$3*EXP(P235),6)</f>
        <v>4.353154</v>
      </c>
      <c r="AA235" s="15">
        <f>+ROUND(H$3*EXP(Q235),6)</f>
        <v>3.5448879999999998</v>
      </c>
      <c r="AB235" s="1">
        <v>233</v>
      </c>
      <c r="AC235" s="5" t="s">
        <v>234</v>
      </c>
      <c r="AD235" s="16">
        <f>+ROUND(Pozisyon!$U$4*('Data - Simülasyon- P&amp;L'!U235-'Data - Simülasyon- P&amp;L'!B$3),6)</f>
        <v>8921.6640000000007</v>
      </c>
      <c r="AE235" s="16">
        <f>+ROUND(Pozisyon!$U$5*('Data - Simülasyon- P&amp;L'!V235-'Data - Simülasyon- P&amp;L'!C$3),6)</f>
        <v>922.1</v>
      </c>
      <c r="AF235" s="16">
        <f>+ROUND(Pozisyon!$U$6*('Data - Simülasyon- P&amp;L'!W235-'Data - Simülasyon- P&amp;L'!D$3),6)</f>
        <v>-255.84375</v>
      </c>
      <c r="AG235" s="16">
        <f>+ROUND(Pozisyon!$U$7*('Data - Simülasyon- P&amp;L'!X235-'Data - Simülasyon- P&amp;L'!E$3),6)</f>
        <v>7517.4880000000003</v>
      </c>
      <c r="AH235" s="16">
        <f>+ROUND(Pozisyon!$U$8*('Data - Simülasyon- P&amp;L'!Y235-'Data - Simülasyon- P&amp;L'!F$3),6)</f>
        <v>1467.3979999999999</v>
      </c>
      <c r="AI235" s="16">
        <f>+ROUND(Pozisyon!$U$9*('Data - Simülasyon- P&amp;L'!Z235-'Data - Simülasyon- P&amp;L'!G$3),6)</f>
        <v>6969.3540000000003</v>
      </c>
      <c r="AJ235" s="16">
        <f>+ROUND(Pozisyon!$U$10*('Data - Simülasyon- P&amp;L'!AA235-'Data - Simülasyon- P&amp;L'!H$3),6)</f>
        <v>43835.688000000002</v>
      </c>
      <c r="AK235" s="16">
        <f>+SUM(AD235:AJ235)</f>
        <v>69377.84825000001</v>
      </c>
      <c r="AL235" s="16">
        <f t="shared" si="0"/>
        <v>108568.24625000001</v>
      </c>
    </row>
    <row r="236" spans="1:38" ht="15" thickBot="1" x14ac:dyDescent="0.35">
      <c r="A236" s="5" t="s">
        <v>517</v>
      </c>
      <c r="B236" s="6">
        <v>7.36</v>
      </c>
      <c r="C236" s="5">
        <v>10.14</v>
      </c>
      <c r="D236" s="6">
        <v>4.0599999999999996</v>
      </c>
      <c r="E236" s="5">
        <v>1.08</v>
      </c>
      <c r="F236" s="5">
        <v>7.26</v>
      </c>
      <c r="G236" s="5">
        <v>3.74</v>
      </c>
      <c r="H236" s="5">
        <v>3.56</v>
      </c>
      <c r="J236" s="5" t="s">
        <v>517</v>
      </c>
      <c r="K236" s="11">
        <f>+ROUND(LN(B236/B237),6)</f>
        <v>9.5560000000000003E-3</v>
      </c>
      <c r="L236" s="11">
        <f>+ROUND(LN(C236/C237),6)</f>
        <v>7.9209999999999992E-3</v>
      </c>
      <c r="M236" s="11">
        <f>+ROUND(LN(D236/D237),6)</f>
        <v>-9.8040000000000002E-3</v>
      </c>
      <c r="N236" s="11">
        <f>+ROUND(LN(E236/E237),6)</f>
        <v>9.3019999999999995E-3</v>
      </c>
      <c r="O236" s="11">
        <f>+ROUND(LN(F236/F237),6)</f>
        <v>-4.1240000000000001E-3</v>
      </c>
      <c r="P236" s="11">
        <f>+ROUND(LN(G236/G237),6)</f>
        <v>-5.3330000000000001E-3</v>
      </c>
      <c r="Q236" s="11">
        <f>+ROUND(LN(H236/H237),6)</f>
        <v>1.4145E-2</v>
      </c>
      <c r="R236" s="3"/>
      <c r="T236" s="5" t="s">
        <v>235</v>
      </c>
      <c r="U236" s="15">
        <f>+ROUND(B$3*EXP(K236),6)</f>
        <v>7.672974</v>
      </c>
      <c r="V236" s="15">
        <f>+ROUND(C$3*EXP(L236),6)</f>
        <v>9.4243550000000003</v>
      </c>
      <c r="W236" s="15">
        <f>+ROUND(D$3*EXP(M236),6)</f>
        <v>2.7429760000000001</v>
      </c>
      <c r="X236" s="15">
        <f>+ROUND(E$3*EXP(N236),6)</f>
        <v>1.160747</v>
      </c>
      <c r="Y236" s="15">
        <f>+ROUND(F$3*EXP(O236),6)</f>
        <v>4.9595050000000001</v>
      </c>
      <c r="Z236" s="15">
        <f>+ROUND(G$3*EXP(P236),6)</f>
        <v>4.3069699999999997</v>
      </c>
      <c r="AA236" s="15">
        <f>+ROUND(H$3*EXP(Q236),6)</f>
        <v>3.4687199999999998</v>
      </c>
      <c r="AB236" s="1">
        <v>234</v>
      </c>
      <c r="AC236" s="5" t="s">
        <v>235</v>
      </c>
      <c r="AD236" s="16">
        <f>+ROUND(Pozisyon!$U$4*('Data - Simülasyon- P&amp;L'!U236-'Data - Simülasyon- P&amp;L'!B$3),6)</f>
        <v>10508.255999999999</v>
      </c>
      <c r="AE236" s="16">
        <f>+ROUND(Pozisyon!$U$5*('Data - Simülasyon- P&amp;L'!V236-'Data - Simülasyon- P&amp;L'!C$3),6)</f>
        <v>1858.875</v>
      </c>
      <c r="AF236" s="16">
        <f>+ROUND(Pozisyon!$U$6*('Data - Simülasyon- P&amp;L'!W236-'Data - Simülasyon- P&amp;L'!D$3),6)</f>
        <v>-506.7</v>
      </c>
      <c r="AG236" s="16">
        <f>+ROUND(Pozisyon!$U$7*('Data - Simülasyon- P&amp;L'!X236-'Data - Simülasyon- P&amp;L'!E$3),6)</f>
        <v>3793.6909999999998</v>
      </c>
      <c r="AH236" s="16">
        <f>+ROUND(Pozisyon!$U$8*('Data - Simülasyon- P&amp;L'!Y236-'Data - Simülasyon- P&amp;L'!F$3),6)</f>
        <v>-4385.93</v>
      </c>
      <c r="AI236" s="16">
        <f>+ROUND(Pozisyon!$U$9*('Data - Simülasyon- P&amp;L'!Z236-'Data - Simülasyon- P&amp;L'!G$3),6)</f>
        <v>-6932.03</v>
      </c>
      <c r="AJ236" s="16">
        <f>+ROUND(Pozisyon!$U$10*('Data - Simülasyon- P&amp;L'!AA236-'Data - Simülasyon- P&amp;L'!H$3),6)</f>
        <v>17100.72</v>
      </c>
      <c r="AK236" s="16">
        <f>+SUM(AD236:AJ236)</f>
        <v>21436.882000000001</v>
      </c>
      <c r="AL236" s="16">
        <f t="shared" si="0"/>
        <v>111807.99400000001</v>
      </c>
    </row>
    <row r="237" spans="1:38" ht="15" thickBot="1" x14ac:dyDescent="0.35">
      <c r="A237" s="5" t="s">
        <v>518</v>
      </c>
      <c r="B237" s="6">
        <v>7.29</v>
      </c>
      <c r="C237" s="5">
        <v>10.06</v>
      </c>
      <c r="D237" s="6">
        <v>4.0999999999999996</v>
      </c>
      <c r="E237" s="5">
        <v>1.07</v>
      </c>
      <c r="F237" s="5">
        <v>7.29</v>
      </c>
      <c r="G237" s="5">
        <v>3.76</v>
      </c>
      <c r="H237" s="5">
        <v>3.51</v>
      </c>
      <c r="J237" s="5" t="s">
        <v>518</v>
      </c>
      <c r="K237" s="11">
        <f>+ROUND(LN(B237/B238),6)</f>
        <v>-8.1969999999999994E-3</v>
      </c>
      <c r="L237" s="11">
        <f>+ROUND(LN(C237/C238),6)</f>
        <v>3.9839999999999997E-3</v>
      </c>
      <c r="M237" s="11">
        <f>+ROUND(LN(D237/D238),6)</f>
        <v>2.4693E-2</v>
      </c>
      <c r="N237" s="11">
        <f>+ROUND(LN(E237/E238),6)</f>
        <v>1.8867999999999999E-2</v>
      </c>
      <c r="O237" s="11">
        <f>+ROUND(LN(F237/F238),6)</f>
        <v>8.2649999999999998E-3</v>
      </c>
      <c r="P237" s="11">
        <f>+ROUND(LN(G237/G238),6)</f>
        <v>2.663E-3</v>
      </c>
      <c r="Q237" s="11">
        <f>+ROUND(LN(H237/H238),6)</f>
        <v>-5.6820000000000004E-3</v>
      </c>
      <c r="R237" s="3"/>
      <c r="T237" s="5" t="s">
        <v>236</v>
      </c>
      <c r="U237" s="15">
        <f>+ROUND(B$3*EXP(K237),6)</f>
        <v>7.5379569999999996</v>
      </c>
      <c r="V237" s="15">
        <f>+ROUND(C$3*EXP(L237),6)</f>
        <v>9.3873250000000006</v>
      </c>
      <c r="W237" s="15">
        <f>+ROUND(D$3*EXP(M237),6)</f>
        <v>2.839251</v>
      </c>
      <c r="X237" s="15">
        <f>+ROUND(E$3*EXP(N237),6)</f>
        <v>1.1719040000000001</v>
      </c>
      <c r="Y237" s="15">
        <f>+ROUND(F$3*EXP(O237),6)</f>
        <v>5.0213299999999998</v>
      </c>
      <c r="Z237" s="15">
        <f>+ROUND(G$3*EXP(P237),6)</f>
        <v>4.3415460000000001</v>
      </c>
      <c r="AA237" s="15">
        <f>+ROUND(H$3*EXP(Q237),6)</f>
        <v>3.400623</v>
      </c>
      <c r="AB237" s="1">
        <v>235</v>
      </c>
      <c r="AC237" s="5" t="s">
        <v>236</v>
      </c>
      <c r="AD237" s="16">
        <f>+ROUND(Pozisyon!$U$4*('Data - Simülasyon- P&amp;L'!U237-'Data - Simülasyon- P&amp;L'!B$3),6)</f>
        <v>-8934.1919999999991</v>
      </c>
      <c r="AE237" s="16">
        <f>+ROUND(Pozisyon!$U$5*('Data - Simülasyon- P&amp;L'!V237-'Data - Simülasyon- P&amp;L'!C$3),6)</f>
        <v>933.125</v>
      </c>
      <c r="AF237" s="16">
        <f>+ROUND(Pozisyon!$U$6*('Data - Simülasyon- P&amp;L'!W237-'Data - Simülasyon- P&amp;L'!D$3),6)</f>
        <v>1298.45625</v>
      </c>
      <c r="AG237" s="16">
        <f>+ROUND(Pozisyon!$U$7*('Data - Simülasyon- P&amp;L'!X237-'Data - Simülasyon- P&amp;L'!E$3),6)</f>
        <v>7732.1120000000001</v>
      </c>
      <c r="AH237" s="16">
        <f>+ROUND(Pozisyon!$U$8*('Data - Simülasyon- P&amp;L'!Y237-'Data - Simülasyon- P&amp;L'!F$3),6)</f>
        <v>8844.6200000000008</v>
      </c>
      <c r="AI237" s="16">
        <f>+ROUND(Pozisyon!$U$9*('Data - Simülasyon- P&amp;L'!Z237-'Data - Simülasyon- P&amp;L'!G$3),6)</f>
        <v>3475.346</v>
      </c>
      <c r="AJ237" s="16">
        <f>+ROUND(Pozisyon!$U$10*('Data - Simülasyon- P&amp;L'!AA237-'Data - Simülasyon- P&amp;L'!H$3),6)</f>
        <v>-6801.3270000000002</v>
      </c>
      <c r="AK237" s="16">
        <f>+SUM(AD237:AJ237)</f>
        <v>6548.1402500000013</v>
      </c>
      <c r="AL237" s="16">
        <f t="shared" si="0"/>
        <v>114045.71575</v>
      </c>
    </row>
    <row r="238" spans="1:38" ht="15" thickBot="1" x14ac:dyDescent="0.35">
      <c r="A238" s="5" t="s">
        <v>519</v>
      </c>
      <c r="B238" s="6">
        <v>7.35</v>
      </c>
      <c r="C238" s="5">
        <v>10.02</v>
      </c>
      <c r="D238" s="6">
        <v>4</v>
      </c>
      <c r="E238" s="5">
        <v>1.05</v>
      </c>
      <c r="F238" s="5">
        <v>7.23</v>
      </c>
      <c r="G238" s="5">
        <v>3.75</v>
      </c>
      <c r="H238" s="5">
        <v>3.53</v>
      </c>
      <c r="J238" s="5" t="s">
        <v>519</v>
      </c>
      <c r="K238" s="11">
        <f>+ROUND(LN(B238/B239),6)</f>
        <v>3.884E-2</v>
      </c>
      <c r="L238" s="11">
        <f>+ROUND(LN(C238/C239),6)</f>
        <v>2.4244000000000002E-2</v>
      </c>
      <c r="M238" s="11">
        <f>+ROUND(LN(D238/D239),6)</f>
        <v>-1.4888999999999999E-2</v>
      </c>
      <c r="N238" s="11">
        <f>+ROUND(LN(E238/E239),6)</f>
        <v>0</v>
      </c>
      <c r="O238" s="11">
        <f>+ROUND(LN(F238/F239),6)</f>
        <v>1.6736999999999998E-2</v>
      </c>
      <c r="P238" s="11">
        <f>+ROUND(LN(G238/G239),6)</f>
        <v>2.7029000000000001E-2</v>
      </c>
      <c r="Q238" s="11">
        <f>+ROUND(LN(H238/H239),6)</f>
        <v>1.1396E-2</v>
      </c>
      <c r="R238" s="3"/>
      <c r="T238" s="5" t="s">
        <v>237</v>
      </c>
      <c r="U238" s="15">
        <f>+ROUND(B$3*EXP(K238),6)</f>
        <v>7.9009910000000003</v>
      </c>
      <c r="V238" s="15">
        <f>+ROUND(C$3*EXP(L238),6)</f>
        <v>9.5794519999999999</v>
      </c>
      <c r="W238" s="15">
        <f>+ROUND(D$3*EXP(M238),6)</f>
        <v>2.729063</v>
      </c>
      <c r="X238" s="15">
        <f>+ROUND(E$3*EXP(N238),6)</f>
        <v>1.1499999999999999</v>
      </c>
      <c r="Y238" s="15">
        <f>+ROUND(F$3*EXP(O238),6)</f>
        <v>5.0640520000000002</v>
      </c>
      <c r="Z238" s="15">
        <f>+ROUND(G$3*EXP(P238),6)</f>
        <v>4.4486319999999999</v>
      </c>
      <c r="AA238" s="15">
        <f>+ROUND(H$3*EXP(Q238),6)</f>
        <v>3.4591970000000001</v>
      </c>
      <c r="AB238" s="1">
        <v>236</v>
      </c>
      <c r="AC238" s="5" t="s">
        <v>237</v>
      </c>
      <c r="AD238" s="16">
        <f>+ROUND(Pozisyon!$U$4*('Data - Simülasyon- P&amp;L'!U238-'Data - Simülasyon- P&amp;L'!B$3),6)</f>
        <v>43342.703999999998</v>
      </c>
      <c r="AE238" s="16">
        <f>+ROUND(Pozisyon!$U$5*('Data - Simülasyon- P&amp;L'!V238-'Data - Simülasyon- P&amp;L'!C$3),6)</f>
        <v>5736.3</v>
      </c>
      <c r="AF238" s="16">
        <f>+ROUND(Pozisyon!$U$6*('Data - Simülasyon- P&amp;L'!W238-'Data - Simülasyon- P&amp;L'!D$3),6)</f>
        <v>-767.56875000000002</v>
      </c>
      <c r="AG238" s="16">
        <f>+ROUND(Pozisyon!$U$7*('Data - Simülasyon- P&amp;L'!X238-'Data - Simülasyon- P&amp;L'!E$3),6)</f>
        <v>0</v>
      </c>
      <c r="AH238" s="16">
        <f>+ROUND(Pozisyon!$U$8*('Data - Simülasyon- P&amp;L'!Y238-'Data - Simülasyon- P&amp;L'!F$3),6)</f>
        <v>17987.128000000001</v>
      </c>
      <c r="AI238" s="16">
        <f>+ROUND(Pozisyon!$U$9*('Data - Simülasyon- P&amp;L'!Z238-'Data - Simülasyon- P&amp;L'!G$3),6)</f>
        <v>35708.232000000004</v>
      </c>
      <c r="AJ238" s="16">
        <f>+ROUND(Pozisyon!$U$10*('Data - Simülasyon- P&amp;L'!AA238-'Data - Simülasyon- P&amp;L'!H$3),6)</f>
        <v>13758.147000000001</v>
      </c>
      <c r="AK238" s="16">
        <f>+SUM(AD238:AJ238)</f>
        <v>115764.94225000001</v>
      </c>
      <c r="AL238" s="16">
        <f t="shared" si="0"/>
        <v>115764.94225000001</v>
      </c>
    </row>
    <row r="239" spans="1:38" ht="15" thickBot="1" x14ac:dyDescent="0.35">
      <c r="A239" s="5" t="s">
        <v>520</v>
      </c>
      <c r="B239" s="6">
        <v>7.07</v>
      </c>
      <c r="C239" s="5">
        <v>9.7799999999999994</v>
      </c>
      <c r="D239" s="6">
        <v>4.0599999999999996</v>
      </c>
      <c r="E239" s="5">
        <v>1.05</v>
      </c>
      <c r="F239" s="5">
        <v>7.11</v>
      </c>
      <c r="G239" s="5">
        <v>3.65</v>
      </c>
      <c r="H239" s="5">
        <v>3.49</v>
      </c>
      <c r="J239" s="5" t="s">
        <v>520</v>
      </c>
      <c r="K239" s="11">
        <f>+ROUND(LN(B239/B240),6)</f>
        <v>0</v>
      </c>
      <c r="L239" s="11">
        <f>+ROUND(LN(C239/C240),6)</f>
        <v>-3.0630000000000002E-3</v>
      </c>
      <c r="M239" s="11">
        <f>+ROUND(LN(D239/D240),6)</f>
        <v>1.4888999999999999E-2</v>
      </c>
      <c r="N239" s="11">
        <f>+ROUND(LN(E239/E240),6)</f>
        <v>9.5689999999999994E-3</v>
      </c>
      <c r="O239" s="11">
        <f>+ROUND(LN(F239/F240),6)</f>
        <v>-2.8089999999999999E-3</v>
      </c>
      <c r="P239" s="11">
        <f>+ROUND(LN(G239/G240),6)</f>
        <v>-8.1860000000000006E-3</v>
      </c>
      <c r="Q239" s="11">
        <f>+ROUND(LN(H239/H240),6)</f>
        <v>-1.4225E-2</v>
      </c>
      <c r="R239" s="3"/>
      <c r="T239" s="5" t="s">
        <v>238</v>
      </c>
      <c r="U239" s="15">
        <f>+ROUND(B$3*EXP(K239),6)</f>
        <v>7.6</v>
      </c>
      <c r="V239" s="15">
        <f>+ROUND(C$3*EXP(L239),6)</f>
        <v>9.3214050000000004</v>
      </c>
      <c r="W239" s="15">
        <f>+ROUND(D$3*EXP(M239),6)</f>
        <v>2.8115510000000001</v>
      </c>
      <c r="X239" s="15">
        <f>+ROUND(E$3*EXP(N239),6)</f>
        <v>1.161057</v>
      </c>
      <c r="Y239" s="15">
        <f>+ROUND(F$3*EXP(O239),6)</f>
        <v>4.9660310000000001</v>
      </c>
      <c r="Z239" s="15">
        <f>+ROUND(G$3*EXP(P239),6)</f>
        <v>4.2946989999999996</v>
      </c>
      <c r="AA239" s="15">
        <f>+ROUND(H$3*EXP(Q239),6)</f>
        <v>3.3716949999999999</v>
      </c>
      <c r="AB239" s="1">
        <v>237</v>
      </c>
      <c r="AC239" s="5" t="s">
        <v>238</v>
      </c>
      <c r="AD239" s="16">
        <f>+ROUND(Pozisyon!$U$4*('Data - Simülasyon- P&amp;L'!U239-'Data - Simülasyon- P&amp;L'!B$3),6)</f>
        <v>0</v>
      </c>
      <c r="AE239" s="16">
        <f>+ROUND(Pozisyon!$U$5*('Data - Simülasyon- P&amp;L'!V239-'Data - Simülasyon- P&amp;L'!C$3),6)</f>
        <v>-714.875</v>
      </c>
      <c r="AF239" s="16">
        <f>+ROUND(Pozisyon!$U$6*('Data - Simülasyon- P&amp;L'!W239-'Data - Simülasyon- P&amp;L'!D$3),6)</f>
        <v>779.08124999999995</v>
      </c>
      <c r="AG239" s="16">
        <f>+ROUND(Pozisyon!$U$7*('Data - Simülasyon- P&amp;L'!X239-'Data - Simülasyon- P&amp;L'!E$3),6)</f>
        <v>3903.1210000000001</v>
      </c>
      <c r="AH239" s="16">
        <f>+ROUND(Pozisyon!$U$8*('Data - Simülasyon- P&amp;L'!Y239-'Data - Simülasyon- P&amp;L'!F$3),6)</f>
        <v>-2989.366</v>
      </c>
      <c r="AI239" s="16">
        <f>+ROUND(Pozisyon!$U$9*('Data - Simülasyon- P&amp;L'!Z239-'Data - Simülasyon- P&amp;L'!G$3),6)</f>
        <v>-10625.601000000001</v>
      </c>
      <c r="AJ239" s="16">
        <f>+ROUND(Pozisyon!$U$10*('Data - Simülasyon- P&amp;L'!AA239-'Data - Simülasyon- P&amp;L'!H$3),6)</f>
        <v>-16955.055</v>
      </c>
      <c r="AK239" s="16">
        <f>+SUM(AD239:AJ239)</f>
        <v>-26602.694750000002</v>
      </c>
      <c r="AL239" s="16">
        <f t="shared" si="0"/>
        <v>118694.87775</v>
      </c>
    </row>
    <row r="240" spans="1:38" ht="15" thickBot="1" x14ac:dyDescent="0.35">
      <c r="A240" s="5" t="s">
        <v>521</v>
      </c>
      <c r="B240" s="6">
        <v>7.07</v>
      </c>
      <c r="C240" s="5">
        <v>9.81</v>
      </c>
      <c r="D240" s="6">
        <v>4</v>
      </c>
      <c r="E240" s="5">
        <v>1.04</v>
      </c>
      <c r="F240" s="5">
        <v>7.13</v>
      </c>
      <c r="G240" s="5">
        <v>3.68</v>
      </c>
      <c r="H240" s="5">
        <v>3.54</v>
      </c>
      <c r="J240" s="5" t="s">
        <v>521</v>
      </c>
      <c r="K240" s="11">
        <f>+ROUND(LN(B240/B241),6)</f>
        <v>2.0001000000000001E-2</v>
      </c>
      <c r="L240" s="11">
        <f>+ROUND(LN(C240/C241),6)</f>
        <v>2.0598000000000002E-2</v>
      </c>
      <c r="M240" s="11">
        <f>+ROUND(LN(D240/D241),6)</f>
        <v>0</v>
      </c>
      <c r="N240" s="11">
        <f>+ROUND(LN(E240/E241),6)</f>
        <v>0</v>
      </c>
      <c r="O240" s="11">
        <f>+ROUND(LN(F240/F241),6)</f>
        <v>1.6974E-2</v>
      </c>
      <c r="P240" s="11">
        <f>+ROUND(LN(G240/G241),6)</f>
        <v>1.9205E-2</v>
      </c>
      <c r="Q240" s="11">
        <f>+ROUND(LN(H240/H241),6)</f>
        <v>2.5752000000000001E-2</v>
      </c>
      <c r="R240" s="3"/>
      <c r="T240" s="5" t="s">
        <v>239</v>
      </c>
      <c r="U240" s="15">
        <f>+ROUND(B$3*EXP(K240),6)</f>
        <v>7.7535379999999998</v>
      </c>
      <c r="V240" s="15">
        <f>+ROUND(C$3*EXP(L240),6)</f>
        <v>9.5445879999999992</v>
      </c>
      <c r="W240" s="15">
        <f>+ROUND(D$3*EXP(M240),6)</f>
        <v>2.77</v>
      </c>
      <c r="X240" s="15">
        <f>+ROUND(E$3*EXP(N240),6)</f>
        <v>1.1499999999999999</v>
      </c>
      <c r="Y240" s="15">
        <f>+ROUND(F$3*EXP(O240),6)</f>
        <v>5.0652520000000001</v>
      </c>
      <c r="Z240" s="15">
        <f>+ROUND(G$3*EXP(P240),6)</f>
        <v>4.4139609999999996</v>
      </c>
      <c r="AA240" s="15">
        <f>+ROUND(H$3*EXP(Q240),6)</f>
        <v>3.5092159999999999</v>
      </c>
      <c r="AB240" s="1">
        <v>238</v>
      </c>
      <c r="AC240" s="5" t="s">
        <v>239</v>
      </c>
      <c r="AD240" s="16">
        <f>+ROUND(Pozisyon!$U$4*('Data - Simülasyon- P&amp;L'!U240-'Data - Simülasyon- P&amp;L'!B$3),6)</f>
        <v>22109.472000000002</v>
      </c>
      <c r="AE240" s="16">
        <f>+ROUND(Pozisyon!$U$5*('Data - Simülasyon- P&amp;L'!V240-'Data - Simülasyon- P&amp;L'!C$3),6)</f>
        <v>4864.7</v>
      </c>
      <c r="AF240" s="16">
        <f>+ROUND(Pozisyon!$U$6*('Data - Simülasyon- P&amp;L'!W240-'Data - Simülasyon- P&amp;L'!D$3),6)</f>
        <v>0</v>
      </c>
      <c r="AG240" s="16">
        <f>+ROUND(Pozisyon!$U$7*('Data - Simülasyon- P&amp;L'!X240-'Data - Simülasyon- P&amp;L'!E$3),6)</f>
        <v>0</v>
      </c>
      <c r="AH240" s="16">
        <f>+ROUND(Pozisyon!$U$8*('Data - Simülasyon- P&amp;L'!Y240-'Data - Simülasyon- P&amp;L'!F$3),6)</f>
        <v>18243.928</v>
      </c>
      <c r="AI240" s="16">
        <f>+ROUND(Pozisyon!$U$9*('Data - Simülasyon- P&amp;L'!Z240-'Data - Simülasyon- P&amp;L'!G$3),6)</f>
        <v>25272.260999999999</v>
      </c>
      <c r="AJ240" s="16">
        <f>+ROUND(Pozisyon!$U$10*('Data - Simülasyon- P&amp;L'!AA240-'Data - Simülasyon- P&amp;L'!H$3),6)</f>
        <v>31314.815999999999</v>
      </c>
      <c r="AK240" s="16">
        <f>+SUM(AD240:AJ240)</f>
        <v>101805.177</v>
      </c>
      <c r="AL240" s="16">
        <f t="shared" si="0"/>
        <v>123543.87700000001</v>
      </c>
    </row>
    <row r="241" spans="1:38" ht="15" thickBot="1" x14ac:dyDescent="0.35">
      <c r="A241" s="5" t="s">
        <v>522</v>
      </c>
      <c r="B241" s="6">
        <v>6.93</v>
      </c>
      <c r="C241" s="5">
        <v>9.61</v>
      </c>
      <c r="D241" s="6">
        <v>4</v>
      </c>
      <c r="E241" s="5">
        <v>1.04</v>
      </c>
      <c r="F241" s="5">
        <v>7.01</v>
      </c>
      <c r="G241" s="5">
        <v>3.61</v>
      </c>
      <c r="H241" s="5">
        <v>3.45</v>
      </c>
      <c r="J241" s="5" t="s">
        <v>522</v>
      </c>
      <c r="K241" s="11">
        <f>+ROUND(LN(B241/B242),6)</f>
        <v>-1.1478E-2</v>
      </c>
      <c r="L241" s="11">
        <f>+ROUND(LN(C241/C242),6)</f>
        <v>-1.9578000000000002E-2</v>
      </c>
      <c r="M241" s="11">
        <f>+ROUND(LN(D241/D242),6)</f>
        <v>-7.4720000000000003E-3</v>
      </c>
      <c r="N241" s="11">
        <f>+ROUND(LN(E241/E242),6)</f>
        <v>-9.5689999999999994E-3</v>
      </c>
      <c r="O241" s="11">
        <f>+ROUND(LN(F241/F242),6)</f>
        <v>-7.1069999999999996E-3</v>
      </c>
      <c r="P241" s="11">
        <f>+ROUND(LN(G241/G242),6)</f>
        <v>-1.6483999999999999E-2</v>
      </c>
      <c r="Q241" s="11">
        <f>+ROUND(LN(H241/H242),6)</f>
        <v>-8.6580000000000008E-3</v>
      </c>
      <c r="R241" s="3"/>
      <c r="T241" s="5" t="s">
        <v>240</v>
      </c>
      <c r="U241" s="15">
        <f>+ROUND(B$3*EXP(K241),6)</f>
        <v>7.5132659999999998</v>
      </c>
      <c r="V241" s="15">
        <f>+ROUND(C$3*EXP(L241),6)</f>
        <v>9.1687259999999995</v>
      </c>
      <c r="W241" s="15">
        <f>+ROUND(D$3*EXP(M241),6)</f>
        <v>2.7493799999999999</v>
      </c>
      <c r="X241" s="15">
        <f>+ROUND(E$3*EXP(N241),6)</f>
        <v>1.1390480000000001</v>
      </c>
      <c r="Y241" s="15">
        <f>+ROUND(F$3*EXP(O241),6)</f>
        <v>4.9447330000000003</v>
      </c>
      <c r="Z241" s="15">
        <f>+ROUND(G$3*EXP(P241),6)</f>
        <v>4.2592090000000002</v>
      </c>
      <c r="AA241" s="15">
        <f>+ROUND(H$3*EXP(Q241),6)</f>
        <v>3.390517</v>
      </c>
      <c r="AB241" s="1">
        <v>239</v>
      </c>
      <c r="AC241" s="5" t="s">
        <v>240</v>
      </c>
      <c r="AD241" s="16">
        <f>+ROUND(Pozisyon!$U$4*('Data - Simülasyon- P&amp;L'!U241-'Data - Simülasyon- P&amp;L'!B$3),6)</f>
        <v>-12489.696</v>
      </c>
      <c r="AE241" s="16">
        <f>+ROUND(Pozisyon!$U$5*('Data - Simülasyon- P&amp;L'!V241-'Data - Simülasyon- P&amp;L'!C$3),6)</f>
        <v>-4531.8500000000004</v>
      </c>
      <c r="AF241" s="16">
        <f>+ROUND(Pozisyon!$U$6*('Data - Simülasyon- P&amp;L'!W241-'Data - Simülasyon- P&amp;L'!D$3),6)</f>
        <v>-386.625</v>
      </c>
      <c r="AG241" s="16">
        <f>+ROUND(Pozisyon!$U$7*('Data - Simülasyon- P&amp;L'!X241-'Data - Simülasyon- P&amp;L'!E$3),6)</f>
        <v>-3866.056</v>
      </c>
      <c r="AH241" s="16">
        <f>+ROUND(Pozisyon!$U$8*('Data - Simülasyon- P&amp;L'!Y241-'Data - Simülasyon- P&amp;L'!F$3),6)</f>
        <v>-7547.1379999999999</v>
      </c>
      <c r="AI241" s="16">
        <f>+ROUND(Pozisyon!$U$9*('Data - Simülasyon- P&amp;L'!Z241-'Data - Simülasyon- P&amp;L'!G$3),6)</f>
        <v>-21308.091</v>
      </c>
      <c r="AJ241" s="16">
        <f>+ROUND(Pozisyon!$U$10*('Data - Simülasyon- P&amp;L'!AA241-'Data - Simülasyon- P&amp;L'!H$3),6)</f>
        <v>-10348.532999999999</v>
      </c>
      <c r="AK241" s="16">
        <f>+SUM(AD241:AJ241)</f>
        <v>-60477.989000000001</v>
      </c>
      <c r="AL241" s="16">
        <f t="shared" si="0"/>
        <v>130420.31024999999</v>
      </c>
    </row>
    <row r="242" spans="1:38" ht="15" thickBot="1" x14ac:dyDescent="0.35">
      <c r="A242" s="5" t="s">
        <v>523</v>
      </c>
      <c r="B242" s="6">
        <v>7.01</v>
      </c>
      <c r="C242" s="5">
        <v>9.8000000000000007</v>
      </c>
      <c r="D242" s="6">
        <v>4.03</v>
      </c>
      <c r="E242" s="5">
        <v>1.05</v>
      </c>
      <c r="F242" s="5">
        <v>7.06</v>
      </c>
      <c r="G242" s="5">
        <v>3.67</v>
      </c>
      <c r="H242" s="5">
        <v>3.48</v>
      </c>
      <c r="J242" s="5" t="s">
        <v>523</v>
      </c>
      <c r="K242" s="11">
        <f>+ROUND(LN(B242/B243),6)</f>
        <v>-1.9775000000000001E-2</v>
      </c>
      <c r="L242" s="11">
        <f>+ROUND(LN(C242/C243),6)</f>
        <v>-1.9202E-2</v>
      </c>
      <c r="M242" s="11">
        <f>+ROUND(LN(D242/D243),6)</f>
        <v>-1.4779E-2</v>
      </c>
      <c r="N242" s="11">
        <f>+ROUND(LN(E242/E243),6)</f>
        <v>-9.4789999999999996E-3</v>
      </c>
      <c r="O242" s="11">
        <f>+ROUND(LN(F242/F243),6)</f>
        <v>-1.9636000000000001E-2</v>
      </c>
      <c r="P242" s="11">
        <f>+ROUND(LN(G242/G243),6)</f>
        <v>-5.4349999999999997E-3</v>
      </c>
      <c r="Q242" s="11">
        <f>+ROUND(LN(H242/H243),6)</f>
        <v>0</v>
      </c>
      <c r="R242" s="3"/>
      <c r="T242" s="5" t="s">
        <v>241</v>
      </c>
      <c r="U242" s="15">
        <f>+ROUND(B$3*EXP(K242),6)</f>
        <v>7.4511859999999999</v>
      </c>
      <c r="V242" s="15">
        <f>+ROUND(C$3*EXP(L242),6)</f>
        <v>9.172174</v>
      </c>
      <c r="W242" s="15">
        <f>+ROUND(D$3*EXP(M242),6)</f>
        <v>2.7293630000000002</v>
      </c>
      <c r="X242" s="15">
        <f>+ROUND(E$3*EXP(N242),6)</f>
        <v>1.139151</v>
      </c>
      <c r="Y242" s="15">
        <f>+ROUND(F$3*EXP(O242),6)</f>
        <v>4.8831670000000003</v>
      </c>
      <c r="Z242" s="15">
        <f>+ROUND(G$3*EXP(P242),6)</f>
        <v>4.3065300000000004</v>
      </c>
      <c r="AA242" s="15">
        <f>+ROUND(H$3*EXP(Q242),6)</f>
        <v>3.42</v>
      </c>
      <c r="AB242" s="1">
        <v>240</v>
      </c>
      <c r="AC242" s="5" t="s">
        <v>241</v>
      </c>
      <c r="AD242" s="16">
        <f>+ROUND(Pozisyon!$U$4*('Data - Simülasyon- P&amp;L'!U242-'Data - Simülasyon- P&amp;L'!B$3),6)</f>
        <v>-21429.216</v>
      </c>
      <c r="AE242" s="16">
        <f>+ROUND(Pozisyon!$U$5*('Data - Simülasyon- P&amp;L'!V242-'Data - Simülasyon- P&amp;L'!C$3),6)</f>
        <v>-4445.6499999999996</v>
      </c>
      <c r="AF242" s="16">
        <f>+ROUND(Pozisyon!$U$6*('Data - Simülasyon- P&amp;L'!W242-'Data - Simülasyon- P&amp;L'!D$3),6)</f>
        <v>-761.94375000000002</v>
      </c>
      <c r="AG242" s="16">
        <f>+ROUND(Pozisyon!$U$7*('Data - Simülasyon- P&amp;L'!X242-'Data - Simülasyon- P&amp;L'!E$3),6)</f>
        <v>-3829.6970000000001</v>
      </c>
      <c r="AH242" s="16">
        <f>+ROUND(Pozisyon!$U$8*('Data - Simülasyon- P&amp;L'!Y242-'Data - Simülasyon- P&amp;L'!F$3),6)</f>
        <v>-20722.261999999999</v>
      </c>
      <c r="AI242" s="16">
        <f>+ROUND(Pozisyon!$U$9*('Data - Simülasyon- P&amp;L'!Z242-'Data - Simülasyon- P&amp;L'!G$3),6)</f>
        <v>-7064.47</v>
      </c>
      <c r="AJ242" s="16">
        <f>+ROUND(Pozisyon!$U$10*('Data - Simülasyon- P&amp;L'!AA242-'Data - Simülasyon- P&amp;L'!H$3),6)</f>
        <v>0</v>
      </c>
      <c r="AK242" s="16">
        <f>+SUM(AD242:AJ242)</f>
        <v>-58253.238750000004</v>
      </c>
      <c r="AL242" s="16">
        <f t="shared" si="0"/>
        <v>130618.27650000001</v>
      </c>
    </row>
    <row r="243" spans="1:38" ht="15" thickBot="1" x14ac:dyDescent="0.35">
      <c r="A243" s="5" t="s">
        <v>524</v>
      </c>
      <c r="B243" s="6">
        <v>7.15</v>
      </c>
      <c r="C243" s="5">
        <v>9.99</v>
      </c>
      <c r="D243" s="6">
        <v>4.09</v>
      </c>
      <c r="E243" s="5">
        <v>1.06</v>
      </c>
      <c r="F243" s="5">
        <v>7.2</v>
      </c>
      <c r="G243" s="5">
        <v>3.69</v>
      </c>
      <c r="H243" s="5">
        <v>3.48</v>
      </c>
      <c r="J243" s="5" t="s">
        <v>524</v>
      </c>
      <c r="K243" s="11">
        <f>+ROUND(LN(B243/B244),6)</f>
        <v>-5.5789999999999998E-3</v>
      </c>
      <c r="L243" s="11">
        <f>+ROUND(LN(C243/C244),6)</f>
        <v>-2E-3</v>
      </c>
      <c r="M243" s="11">
        <f>+ROUND(LN(D243/D244),6)</f>
        <v>-4.8780000000000004E-3</v>
      </c>
      <c r="N243" s="11">
        <f>+ROUND(LN(E243/E244),6)</f>
        <v>0</v>
      </c>
      <c r="O243" s="11">
        <f>+ROUND(LN(F243/F244),6)</f>
        <v>4.1749999999999999E-3</v>
      </c>
      <c r="P243" s="11">
        <f>+ROUND(LN(G243/G244),6)</f>
        <v>-8.097E-3</v>
      </c>
      <c r="Q243" s="11">
        <f>+ROUND(LN(H243/H244),6)</f>
        <v>8.6580000000000008E-3</v>
      </c>
      <c r="R243" s="3"/>
      <c r="T243" s="5" t="s">
        <v>242</v>
      </c>
      <c r="U243" s="15">
        <f>+ROUND(B$3*EXP(K243),6)</f>
        <v>7.5577180000000004</v>
      </c>
      <c r="V243" s="15">
        <f>+ROUND(C$3*EXP(L243),6)</f>
        <v>9.3313190000000006</v>
      </c>
      <c r="W243" s="15">
        <f>+ROUND(D$3*EXP(M243),6)</f>
        <v>2.7565210000000002</v>
      </c>
      <c r="X243" s="15">
        <f>+ROUND(E$3*EXP(N243),6)</f>
        <v>1.1499999999999999</v>
      </c>
      <c r="Y243" s="15">
        <f>+ROUND(F$3*EXP(O243),6)</f>
        <v>5.0008350000000004</v>
      </c>
      <c r="Z243" s="15">
        <f>+ROUND(G$3*EXP(P243),6)</f>
        <v>4.2950819999999998</v>
      </c>
      <c r="AA243" s="15">
        <f>+ROUND(H$3*EXP(Q243),6)</f>
        <v>3.4497390000000001</v>
      </c>
      <c r="AB243" s="1">
        <v>241</v>
      </c>
      <c r="AC243" s="5" t="s">
        <v>242</v>
      </c>
      <c r="AD243" s="16">
        <f>+ROUND(Pozisyon!$U$4*('Data - Simülasyon- P&amp;L'!U243-'Data - Simülasyon- P&amp;L'!B$3),6)</f>
        <v>-6088.6080000000002</v>
      </c>
      <c r="AE243" s="16">
        <f>+ROUND(Pozisyon!$U$5*('Data - Simülasyon- P&amp;L'!V243-'Data - Simülasyon- P&amp;L'!C$3),6)</f>
        <v>-467.02499999999998</v>
      </c>
      <c r="AF243" s="16">
        <f>+ROUND(Pozisyon!$U$6*('Data - Simülasyon- P&amp;L'!W243-'Data - Simülasyon- P&amp;L'!D$3),6)</f>
        <v>-252.73124999999999</v>
      </c>
      <c r="AG243" s="16">
        <f>+ROUND(Pozisyon!$U$7*('Data - Simülasyon- P&amp;L'!X243-'Data - Simülasyon- P&amp;L'!E$3),6)</f>
        <v>0</v>
      </c>
      <c r="AH243" s="16">
        <f>+ROUND(Pozisyon!$U$8*('Data - Simülasyon- P&amp;L'!Y243-'Data - Simülasyon- P&amp;L'!F$3),6)</f>
        <v>4458.6899999999996</v>
      </c>
      <c r="AI243" s="16">
        <f>+ROUND(Pozisyon!$U$9*('Data - Simülasyon- P&amp;L'!Z243-'Data - Simülasyon- P&amp;L'!G$3),6)</f>
        <v>-10510.317999999999</v>
      </c>
      <c r="AJ243" s="16">
        <f>+ROUND(Pozisyon!$U$10*('Data - Simülasyon- P&amp;L'!AA243-'Data - Simülasyon- P&amp;L'!H$3),6)</f>
        <v>10438.388999999999</v>
      </c>
      <c r="AK243" s="16">
        <f>+SUM(AD243:AJ243)</f>
        <v>-2421.6032500000001</v>
      </c>
      <c r="AL243" s="16">
        <f t="shared" si="0"/>
        <v>136334.8155</v>
      </c>
    </row>
    <row r="244" spans="1:38" ht="15" thickBot="1" x14ac:dyDescent="0.35">
      <c r="A244" s="5" t="s">
        <v>525</v>
      </c>
      <c r="B244" s="6">
        <v>7.19</v>
      </c>
      <c r="C244" s="5">
        <v>10.01</v>
      </c>
      <c r="D244" s="6">
        <v>4.1100000000000003</v>
      </c>
      <c r="E244" s="5">
        <v>1.06</v>
      </c>
      <c r="F244" s="5">
        <v>7.17</v>
      </c>
      <c r="G244" s="5">
        <v>3.72</v>
      </c>
      <c r="H244" s="5">
        <v>3.45</v>
      </c>
      <c r="J244" s="5" t="s">
        <v>525</v>
      </c>
      <c r="K244" s="11">
        <f>+ROUND(LN(B244/B245),6)</f>
        <v>1.392E-3</v>
      </c>
      <c r="L244" s="11">
        <f>+ROUND(LN(C244/C245),6)</f>
        <v>0</v>
      </c>
      <c r="M244" s="11">
        <f>+ROUND(LN(D244/D245),6)</f>
        <v>3.4657E-2</v>
      </c>
      <c r="N244" s="11">
        <f>+ROUND(LN(E244/E245),6)</f>
        <v>1.9047999999999999E-2</v>
      </c>
      <c r="O244" s="11">
        <f>+ROUND(LN(F244/F245),6)</f>
        <v>8.4030000000000007E-3</v>
      </c>
      <c r="P244" s="11">
        <f>+ROUND(LN(G244/G245),6)</f>
        <v>2.6919999999999999E-3</v>
      </c>
      <c r="Q244" s="11">
        <f>+ROUND(LN(H244/H245),6)</f>
        <v>1.4599000000000001E-2</v>
      </c>
      <c r="R244" s="3"/>
      <c r="T244" s="5" t="s">
        <v>243</v>
      </c>
      <c r="U244" s="15">
        <f>+ROUND(B$3*EXP(K244),6)</f>
        <v>7.6105869999999998</v>
      </c>
      <c r="V244" s="15">
        <f>+ROUND(C$3*EXP(L244),6)</f>
        <v>9.35</v>
      </c>
      <c r="W244" s="15">
        <f>+ROUND(D$3*EXP(M244),6)</f>
        <v>2.867683</v>
      </c>
      <c r="X244" s="15">
        <f>+ROUND(E$3*EXP(N244),6)</f>
        <v>1.172115</v>
      </c>
      <c r="Y244" s="15">
        <f>+ROUND(F$3*EXP(O244),6)</f>
        <v>5.0220229999999999</v>
      </c>
      <c r="Z244" s="15">
        <f>+ROUND(G$3*EXP(P244),6)</f>
        <v>4.341672</v>
      </c>
      <c r="AA244" s="15">
        <f>+ROUND(H$3*EXP(Q244),6)</f>
        <v>3.4702950000000001</v>
      </c>
      <c r="AB244" s="1">
        <v>242</v>
      </c>
      <c r="AC244" s="5" t="s">
        <v>243</v>
      </c>
      <c r="AD244" s="16">
        <f>+ROUND(Pozisyon!$U$4*('Data - Simülasyon- P&amp;L'!U244-'Data - Simülasyon- P&amp;L'!B$3),6)</f>
        <v>1524.528</v>
      </c>
      <c r="AE244" s="16">
        <f>+ROUND(Pozisyon!$U$5*('Data - Simülasyon- P&amp;L'!V244-'Data - Simülasyon- P&amp;L'!C$3),6)</f>
        <v>0</v>
      </c>
      <c r="AF244" s="16">
        <f>+ROUND(Pozisyon!$U$6*('Data - Simülasyon- P&amp;L'!W244-'Data - Simülasyon- P&amp;L'!D$3),6)</f>
        <v>1831.5562500000001</v>
      </c>
      <c r="AG244" s="16">
        <f>+ROUND(Pozisyon!$U$7*('Data - Simülasyon- P&amp;L'!X244-'Data - Simülasyon- P&amp;L'!E$3),6)</f>
        <v>7806.5950000000003</v>
      </c>
      <c r="AH244" s="16">
        <f>+ROUND(Pozisyon!$U$8*('Data - Simülasyon- P&amp;L'!Y244-'Data - Simülasyon- P&amp;L'!F$3),6)</f>
        <v>8992.9220000000005</v>
      </c>
      <c r="AI244" s="16">
        <f>+ROUND(Pozisyon!$U$9*('Data - Simülasyon- P&amp;L'!Z244-'Data - Simülasyon- P&amp;L'!G$3),6)</f>
        <v>3513.2719999999999</v>
      </c>
      <c r="AJ244" s="16">
        <f>+ROUND(Pozisyon!$U$10*('Data - Simülasyon- P&amp;L'!AA244-'Data - Simülasyon- P&amp;L'!H$3),6)</f>
        <v>17653.544999999998</v>
      </c>
      <c r="AK244" s="16">
        <f>+SUM(AD244:AJ244)</f>
        <v>41322.418250000002</v>
      </c>
      <c r="AL244" s="16">
        <f t="shared" si="0"/>
        <v>140465.76525</v>
      </c>
    </row>
    <row r="245" spans="1:38" ht="15" thickBot="1" x14ac:dyDescent="0.35">
      <c r="A245" s="5" t="s">
        <v>526</v>
      </c>
      <c r="B245" s="6">
        <v>7.18</v>
      </c>
      <c r="C245" s="5">
        <v>10.01</v>
      </c>
      <c r="D245" s="6">
        <v>3.97</v>
      </c>
      <c r="E245" s="5">
        <v>1.04</v>
      </c>
      <c r="F245" s="5">
        <v>7.11</v>
      </c>
      <c r="G245" s="5">
        <v>3.71</v>
      </c>
      <c r="H245" s="5">
        <v>3.4</v>
      </c>
      <c r="J245" s="5" t="s">
        <v>526</v>
      </c>
      <c r="K245" s="11">
        <f>+ROUND(LN(B245/B246),6)</f>
        <v>1.3940000000000001E-3</v>
      </c>
      <c r="L245" s="11">
        <f>+ROUND(LN(C245/C246),6)</f>
        <v>-1.4874E-2</v>
      </c>
      <c r="M245" s="11">
        <f>+ROUND(LN(D245/D246),6)</f>
        <v>-1.9951E-2</v>
      </c>
      <c r="N245" s="11">
        <f>+ROUND(LN(E245/E246),6)</f>
        <v>0</v>
      </c>
      <c r="O245" s="11">
        <f>+ROUND(LN(F245/F246),6)</f>
        <v>-1.3967E-2</v>
      </c>
      <c r="P245" s="11">
        <f>+ROUND(LN(G245/G246),6)</f>
        <v>-1.0723999999999999E-2</v>
      </c>
      <c r="Q245" s="11">
        <f>+ROUND(LN(H245/H246),6)</f>
        <v>2.9459999999999998E-3</v>
      </c>
      <c r="R245" s="3"/>
      <c r="T245" s="5" t="s">
        <v>244</v>
      </c>
      <c r="U245" s="15">
        <f>+ROUND(B$3*EXP(K245),6)</f>
        <v>7.6106020000000001</v>
      </c>
      <c r="V245" s="15">
        <f>+ROUND(C$3*EXP(L245),6)</f>
        <v>9.211957</v>
      </c>
      <c r="W245" s="15">
        <f>+ROUND(D$3*EXP(M245),6)</f>
        <v>2.7152829999999999</v>
      </c>
      <c r="X245" s="15">
        <f>+ROUND(E$3*EXP(N245),6)</f>
        <v>1.1499999999999999</v>
      </c>
      <c r="Y245" s="15">
        <f>+ROUND(F$3*EXP(O245),6)</f>
        <v>4.9109280000000002</v>
      </c>
      <c r="Z245" s="15">
        <f>+ROUND(G$3*EXP(P245),6)</f>
        <v>4.2838130000000003</v>
      </c>
      <c r="AA245" s="15">
        <f>+ROUND(H$3*EXP(Q245),6)</f>
        <v>3.4300899999999999</v>
      </c>
      <c r="AB245" s="1">
        <v>243</v>
      </c>
      <c r="AC245" s="5" t="s">
        <v>244</v>
      </c>
      <c r="AD245" s="16">
        <f>+ROUND(Pozisyon!$U$4*('Data - Simülasyon- P&amp;L'!U245-'Data - Simülasyon- P&amp;L'!B$3),6)</f>
        <v>1526.6880000000001</v>
      </c>
      <c r="AE245" s="16">
        <f>+ROUND(Pozisyon!$U$5*('Data - Simülasyon- P&amp;L'!V245-'Data - Simülasyon- P&amp;L'!C$3),6)</f>
        <v>-3451.0749999999998</v>
      </c>
      <c r="AF245" s="16">
        <f>+ROUND(Pozisyon!$U$6*('Data - Simülasyon- P&amp;L'!W245-'Data - Simülasyon- P&amp;L'!D$3),6)</f>
        <v>-1025.9437499999999</v>
      </c>
      <c r="AG245" s="16">
        <f>+ROUND(Pozisyon!$U$7*('Data - Simülasyon- P&amp;L'!X245-'Data - Simülasyon- P&amp;L'!E$3),6)</f>
        <v>0</v>
      </c>
      <c r="AH245" s="16">
        <f>+ROUND(Pozisyon!$U$8*('Data - Simülasyon- P&amp;L'!Y245-'Data - Simülasyon- P&amp;L'!F$3),6)</f>
        <v>-14781.407999999999</v>
      </c>
      <c r="AI245" s="16">
        <f>+ROUND(Pozisyon!$U$9*('Data - Simülasyon- P&amp;L'!Z245-'Data - Simülasyon- P&amp;L'!G$3),6)</f>
        <v>-13902.287</v>
      </c>
      <c r="AJ245" s="16">
        <f>+ROUND(Pozisyon!$U$10*('Data - Simülasyon- P&amp;L'!AA245-'Data - Simülasyon- P&amp;L'!H$3),6)</f>
        <v>3541.59</v>
      </c>
      <c r="AK245" s="16">
        <f>+SUM(AD245:AJ245)</f>
        <v>-28092.435750000001</v>
      </c>
      <c r="AL245" s="16">
        <f t="shared" si="0"/>
        <v>150782.31675</v>
      </c>
    </row>
    <row r="246" spans="1:38" ht="15" thickBot="1" x14ac:dyDescent="0.35">
      <c r="A246" s="5" t="s">
        <v>527</v>
      </c>
      <c r="B246" s="6">
        <v>7.17</v>
      </c>
      <c r="C246" s="5">
        <v>10.16</v>
      </c>
      <c r="D246" s="6">
        <v>4.05</v>
      </c>
      <c r="E246" s="5">
        <v>1.04</v>
      </c>
      <c r="F246" s="5">
        <v>7.21</v>
      </c>
      <c r="G246" s="5">
        <v>3.75</v>
      </c>
      <c r="H246" s="5">
        <v>3.39</v>
      </c>
      <c r="J246" s="5" t="s">
        <v>527</v>
      </c>
      <c r="K246" s="11">
        <f>+ROUND(LN(B246/B247),6)</f>
        <v>-1.3940000000000001E-3</v>
      </c>
      <c r="L246" s="11">
        <f>+ROUND(LN(C246/C247),6)</f>
        <v>-1.3684999999999999E-2</v>
      </c>
      <c r="M246" s="11">
        <f>+ROUND(LN(D246/D247),6)</f>
        <v>-1.227E-2</v>
      </c>
      <c r="N246" s="11">
        <f>+ROUND(LN(E246/E247),6)</f>
        <v>-1.9047999999999999E-2</v>
      </c>
      <c r="O246" s="11">
        <f>+ROUND(LN(F246/F247),6)</f>
        <v>-1.6507000000000001E-2</v>
      </c>
      <c r="P246" s="11">
        <f>+ROUND(LN(G246/G247),6)</f>
        <v>-7.9679999999999994E-3</v>
      </c>
      <c r="Q246" s="11">
        <f>+ROUND(LN(H246/H247),6)</f>
        <v>-1.1730000000000001E-2</v>
      </c>
      <c r="R246" s="3"/>
      <c r="T246" s="5" t="s">
        <v>245</v>
      </c>
      <c r="U246" s="15">
        <f>+ROUND(B$3*EXP(K246),6)</f>
        <v>7.5894130000000004</v>
      </c>
      <c r="V246" s="15">
        <f>+ROUND(C$3*EXP(L246),6)</f>
        <v>9.2229170000000007</v>
      </c>
      <c r="W246" s="15">
        <f>+ROUND(D$3*EXP(M246),6)</f>
        <v>2.7362199999999999</v>
      </c>
      <c r="X246" s="15">
        <f>+ROUND(E$3*EXP(N246),6)</f>
        <v>1.1283019999999999</v>
      </c>
      <c r="Y246" s="15">
        <f>+ROUND(F$3*EXP(O246),6)</f>
        <v>4.8984699999999997</v>
      </c>
      <c r="Z246" s="15">
        <f>+ROUND(G$3*EXP(P246),6)</f>
        <v>4.295636</v>
      </c>
      <c r="AA246" s="15">
        <f>+ROUND(H$3*EXP(Q246),6)</f>
        <v>3.380118</v>
      </c>
      <c r="AB246" s="1">
        <v>244</v>
      </c>
      <c r="AC246" s="5" t="s">
        <v>245</v>
      </c>
      <c r="AD246" s="16">
        <f>+ROUND(Pozisyon!$U$4*('Data - Simülasyon- P&amp;L'!U246-'Data - Simülasyon- P&amp;L'!B$3),6)</f>
        <v>-1524.528</v>
      </c>
      <c r="AE246" s="16">
        <f>+ROUND(Pozisyon!$U$5*('Data - Simülasyon- P&amp;L'!V246-'Data - Simülasyon- P&amp;L'!C$3),6)</f>
        <v>-3177.0749999999998</v>
      </c>
      <c r="AF246" s="16">
        <f>+ROUND(Pozisyon!$U$6*('Data - Simülasyon- P&amp;L'!W246-'Data - Simülasyon- P&amp;L'!D$3),6)</f>
        <v>-633.375</v>
      </c>
      <c r="AG246" s="16">
        <f>+ROUND(Pozisyon!$U$7*('Data - Simülasyon- P&amp;L'!X246-'Data - Simülasyon- P&amp;L'!E$3),6)</f>
        <v>-7659.3940000000002</v>
      </c>
      <c r="AH246" s="16">
        <f>+ROUND(Pozisyon!$U$8*('Data - Simülasyon- P&amp;L'!Y246-'Data - Simülasyon- P&amp;L'!F$3),6)</f>
        <v>-17447.419999999998</v>
      </c>
      <c r="AI246" s="16">
        <f>+ROUND(Pozisyon!$U$9*('Data - Simülasyon- P&amp;L'!Z246-'Data - Simülasyon- P&amp;L'!G$3),6)</f>
        <v>-10343.564</v>
      </c>
      <c r="AJ246" s="16">
        <f>+ROUND(Pozisyon!$U$10*('Data - Simülasyon- P&amp;L'!AA246-'Data - Simülasyon- P&amp;L'!H$3),6)</f>
        <v>-13998.582</v>
      </c>
      <c r="AK246" s="16">
        <f>+SUM(AD246:AJ246)</f>
        <v>-54783.938000000002</v>
      </c>
      <c r="AL246" s="16">
        <f t="shared" si="0"/>
        <v>152304.35649999999</v>
      </c>
    </row>
    <row r="247" spans="1:38" ht="15" thickBot="1" x14ac:dyDescent="0.35">
      <c r="A247" s="5" t="s">
        <v>528</v>
      </c>
      <c r="B247" s="6">
        <v>7.18</v>
      </c>
      <c r="C247" s="5">
        <v>10.3</v>
      </c>
      <c r="D247" s="6">
        <v>4.0999999999999996</v>
      </c>
      <c r="E247" s="5">
        <v>1.06</v>
      </c>
      <c r="F247" s="5">
        <v>7.33</v>
      </c>
      <c r="G247" s="5">
        <v>3.78</v>
      </c>
      <c r="H247" s="5">
        <v>3.43</v>
      </c>
      <c r="J247" s="5" t="s">
        <v>528</v>
      </c>
      <c r="K247" s="11">
        <f>+ROUND(LN(B247/B248),6)</f>
        <v>4.1869999999999997E-3</v>
      </c>
      <c r="L247" s="11">
        <f>+ROUND(LN(C247/C248),6)</f>
        <v>1.2702E-2</v>
      </c>
      <c r="M247" s="11">
        <f>+ROUND(LN(D247/D248),6)</f>
        <v>-1.2121E-2</v>
      </c>
      <c r="N247" s="11">
        <f>+ROUND(LN(E247/E248),6)</f>
        <v>0</v>
      </c>
      <c r="O247" s="11">
        <f>+ROUND(LN(F247/F248),6)</f>
        <v>5.4720000000000003E-3</v>
      </c>
      <c r="P247" s="11">
        <f>+ROUND(LN(G247/G248),6)</f>
        <v>5.3049999999999998E-3</v>
      </c>
      <c r="Q247" s="11">
        <f>+ROUND(LN(H247/H248),6)</f>
        <v>1.4685E-2</v>
      </c>
      <c r="R247" s="3"/>
      <c r="T247" s="5" t="s">
        <v>246</v>
      </c>
      <c r="U247" s="15">
        <f>+ROUND(B$3*EXP(K247),6)</f>
        <v>7.631888</v>
      </c>
      <c r="V247" s="15">
        <f>+ROUND(C$3*EXP(L247),6)</f>
        <v>9.4695210000000003</v>
      </c>
      <c r="W247" s="15">
        <f>+ROUND(D$3*EXP(M247),6)</f>
        <v>2.7366269999999999</v>
      </c>
      <c r="X247" s="15">
        <f>+ROUND(E$3*EXP(N247),6)</f>
        <v>1.1499999999999999</v>
      </c>
      <c r="Y247" s="15">
        <f>+ROUND(F$3*EXP(O247),6)</f>
        <v>5.0073249999999998</v>
      </c>
      <c r="Z247" s="15">
        <f>+ROUND(G$3*EXP(P247),6)</f>
        <v>4.3530319999999998</v>
      </c>
      <c r="AA247" s="15">
        <f>+ROUND(H$3*EXP(Q247),6)</f>
        <v>3.470593</v>
      </c>
      <c r="AB247" s="1">
        <v>245</v>
      </c>
      <c r="AC247" s="5" t="s">
        <v>246</v>
      </c>
      <c r="AD247" s="16">
        <f>+ROUND(Pozisyon!$U$4*('Data - Simülasyon- P&amp;L'!U247-'Data - Simülasyon- P&amp;L'!B$3),6)</f>
        <v>4591.8720000000003</v>
      </c>
      <c r="AE247" s="16">
        <f>+ROUND(Pozisyon!$U$5*('Data - Simülasyon- P&amp;L'!V247-'Data - Simülasyon- P&amp;L'!C$3),6)</f>
        <v>2988.0250000000001</v>
      </c>
      <c r="AF247" s="16">
        <f>+ROUND(Pozisyon!$U$6*('Data - Simülasyon- P&amp;L'!W247-'Data - Simülasyon- P&amp;L'!D$3),6)</f>
        <v>-625.74374999999998</v>
      </c>
      <c r="AG247" s="16">
        <f>+ROUND(Pozisyon!$U$7*('Data - Simülasyon- P&amp;L'!X247-'Data - Simülasyon- P&amp;L'!E$3),6)</f>
        <v>0</v>
      </c>
      <c r="AH247" s="16">
        <f>+ROUND(Pozisyon!$U$8*('Data - Simülasyon- P&amp;L'!Y247-'Data - Simülasyon- P&amp;L'!F$3),6)</f>
        <v>5847.55</v>
      </c>
      <c r="AI247" s="16">
        <f>+ROUND(Pozisyon!$U$9*('Data - Simülasyon- P&amp;L'!Z247-'Data - Simülasyon- P&amp;L'!G$3),6)</f>
        <v>6932.6319999999996</v>
      </c>
      <c r="AJ247" s="16">
        <f>+ROUND(Pozisyon!$U$10*('Data - Simülasyon- P&amp;L'!AA247-'Data - Simülasyon- P&amp;L'!H$3),6)</f>
        <v>17758.143</v>
      </c>
      <c r="AK247" s="16">
        <f>+SUM(AD247:AJ247)</f>
        <v>37492.47825</v>
      </c>
      <c r="AL247" s="16">
        <f t="shared" si="0"/>
        <v>152896.71375</v>
      </c>
    </row>
    <row r="248" spans="1:38" ht="15" thickBot="1" x14ac:dyDescent="0.35">
      <c r="A248" s="5" t="s">
        <v>529</v>
      </c>
      <c r="B248" s="6">
        <v>7.15</v>
      </c>
      <c r="C248" s="5">
        <v>10.17</v>
      </c>
      <c r="D248" s="6">
        <v>4.1500000000000004</v>
      </c>
      <c r="E248" s="5">
        <v>1.06</v>
      </c>
      <c r="F248" s="5">
        <v>7.29</v>
      </c>
      <c r="G248" s="5">
        <v>3.76</v>
      </c>
      <c r="H248" s="5">
        <v>3.38</v>
      </c>
      <c r="J248" s="5" t="s">
        <v>529</v>
      </c>
      <c r="K248" s="11">
        <f>+ROUND(LN(B248/B249),6)</f>
        <v>7.0179999999999999E-3</v>
      </c>
      <c r="L248" s="11">
        <f>+ROUND(LN(C248/C249),6)</f>
        <v>3.9410000000000001E-3</v>
      </c>
      <c r="M248" s="11">
        <f>+ROUND(LN(D248/D249),6)</f>
        <v>-4.7067999999999999E-2</v>
      </c>
      <c r="N248" s="11">
        <f>+ROUND(LN(E248/E249),6)</f>
        <v>1.9047999999999999E-2</v>
      </c>
      <c r="O248" s="11">
        <f>+ROUND(LN(F248/F249),6)</f>
        <v>-1.371E-3</v>
      </c>
      <c r="P248" s="11">
        <f>+ROUND(LN(G248/G249),6)</f>
        <v>5.3330000000000001E-3</v>
      </c>
      <c r="Q248" s="11">
        <f>+ROUND(LN(H248/H249),6)</f>
        <v>1.7911E-2</v>
      </c>
      <c r="R248" s="3"/>
      <c r="T248" s="5" t="s">
        <v>247</v>
      </c>
      <c r="U248" s="15">
        <f>+ROUND(B$3*EXP(K248),6)</f>
        <v>7.653524</v>
      </c>
      <c r="V248" s="15">
        <f>+ROUND(C$3*EXP(L248),6)</f>
        <v>9.3869209999999992</v>
      </c>
      <c r="W248" s="15">
        <f>+ROUND(D$3*EXP(M248),6)</f>
        <v>2.6426419999999999</v>
      </c>
      <c r="X248" s="15">
        <f>+ROUND(E$3*EXP(N248),6)</f>
        <v>1.172115</v>
      </c>
      <c r="Y248" s="15">
        <f>+ROUND(F$3*EXP(O248),6)</f>
        <v>4.9731769999999997</v>
      </c>
      <c r="Z248" s="15">
        <f>+ROUND(G$3*EXP(P248),6)</f>
        <v>4.353154</v>
      </c>
      <c r="AA248" s="15">
        <f>+ROUND(H$3*EXP(Q248),6)</f>
        <v>3.4818069999999999</v>
      </c>
      <c r="AB248" s="1">
        <v>246</v>
      </c>
      <c r="AC248" s="5" t="s">
        <v>247</v>
      </c>
      <c r="AD248" s="16">
        <f>+ROUND(Pozisyon!$U$4*('Data - Simülasyon- P&amp;L'!U248-'Data - Simülasyon- P&amp;L'!B$3),6)</f>
        <v>7707.4560000000001</v>
      </c>
      <c r="AE248" s="16">
        <f>+ROUND(Pozisyon!$U$5*('Data - Simülasyon- P&amp;L'!V248-'Data - Simülasyon- P&amp;L'!C$3),6)</f>
        <v>923.02499999999998</v>
      </c>
      <c r="AF248" s="16">
        <f>+ROUND(Pozisyon!$U$6*('Data - Simülasyon- P&amp;L'!W248-'Data - Simülasyon- P&amp;L'!D$3),6)</f>
        <v>-2387.9625000000001</v>
      </c>
      <c r="AG248" s="16">
        <f>+ROUND(Pozisyon!$U$7*('Data - Simülasyon- P&amp;L'!X248-'Data - Simülasyon- P&amp;L'!E$3),6)</f>
        <v>7806.5950000000003</v>
      </c>
      <c r="AH248" s="16">
        <f>+ROUND(Pozisyon!$U$8*('Data - Simülasyon- P&amp;L'!Y248-'Data - Simülasyon- P&amp;L'!F$3),6)</f>
        <v>-1460.1220000000001</v>
      </c>
      <c r="AI248" s="16">
        <f>+ROUND(Pozisyon!$U$9*('Data - Simülasyon- P&amp;L'!Z248-'Data - Simülasyon- P&amp;L'!G$3),6)</f>
        <v>6969.3540000000003</v>
      </c>
      <c r="AJ248" s="16">
        <f>+ROUND(Pozisyon!$U$10*('Data - Simülasyon- P&amp;L'!AA248-'Data - Simülasyon- P&amp;L'!H$3),6)</f>
        <v>21694.257000000001</v>
      </c>
      <c r="AK248" s="16">
        <f>+SUM(AD248:AJ248)</f>
        <v>41252.602500000001</v>
      </c>
      <c r="AL248" s="16">
        <f t="shared" si="0"/>
        <v>160822.98625000002</v>
      </c>
    </row>
    <row r="249" spans="1:38" ht="15" thickBot="1" x14ac:dyDescent="0.35">
      <c r="A249" s="5" t="s">
        <v>530</v>
      </c>
      <c r="B249" s="6">
        <v>7.1</v>
      </c>
      <c r="C249" s="5">
        <v>10.130000000000001</v>
      </c>
      <c r="D249" s="6">
        <v>4.3499999999999996</v>
      </c>
      <c r="E249" s="5">
        <v>1.04</v>
      </c>
      <c r="F249" s="5">
        <v>7.3</v>
      </c>
      <c r="G249" s="5">
        <v>3.74</v>
      </c>
      <c r="H249" s="5">
        <v>3.32</v>
      </c>
      <c r="J249" s="5" t="s">
        <v>530</v>
      </c>
      <c r="K249" s="11">
        <f>+ROUND(LN(B249/B250),6)</f>
        <v>1.4185E-2</v>
      </c>
      <c r="L249" s="11">
        <f>+ROUND(LN(C249/C250),6)</f>
        <v>8.9239999999999996E-3</v>
      </c>
      <c r="M249" s="11">
        <f>+ROUND(LN(D249/D250),6)</f>
        <v>8.3880999999999997E-2</v>
      </c>
      <c r="N249" s="11">
        <f>+ROUND(LN(E249/E250),6)</f>
        <v>0</v>
      </c>
      <c r="O249" s="11">
        <f>+ROUND(LN(F249/F250),6)</f>
        <v>1.2404999999999999E-2</v>
      </c>
      <c r="P249" s="11">
        <f>+ROUND(LN(G249/G250),6)</f>
        <v>1.6173E-2</v>
      </c>
      <c r="Q249" s="11">
        <f>+ROUND(LN(H249/H250),6)</f>
        <v>2.1309999999999999E-2</v>
      </c>
      <c r="R249" s="3"/>
      <c r="T249" s="5" t="s">
        <v>248</v>
      </c>
      <c r="U249" s="15">
        <f>+ROUND(B$3*EXP(K249),6)</f>
        <v>7.7085739999999996</v>
      </c>
      <c r="V249" s="15">
        <f>+ROUND(C$3*EXP(L249),6)</f>
        <v>9.4338130000000007</v>
      </c>
      <c r="W249" s="15">
        <f>+ROUND(D$3*EXP(M249),6)</f>
        <v>3.0123739999999999</v>
      </c>
      <c r="X249" s="15">
        <f>+ROUND(E$3*EXP(N249),6)</f>
        <v>1.1499999999999999</v>
      </c>
      <c r="Y249" s="15">
        <f>+ROUND(F$3*EXP(O249),6)</f>
        <v>5.0421620000000003</v>
      </c>
      <c r="Z249" s="15">
        <f>+ROUND(G$3*EXP(P249),6)</f>
        <v>4.4005979999999996</v>
      </c>
      <c r="AA249" s="15">
        <f>+ROUND(H$3*EXP(Q249),6)</f>
        <v>3.493662</v>
      </c>
      <c r="AB249" s="1">
        <v>247</v>
      </c>
      <c r="AC249" s="5" t="s">
        <v>248</v>
      </c>
      <c r="AD249" s="16">
        <f>+ROUND(Pozisyon!$U$4*('Data - Simülasyon- P&amp;L'!U249-'Data - Simülasyon- P&amp;L'!B$3),6)</f>
        <v>15634.656000000001</v>
      </c>
      <c r="AE249" s="16">
        <f>+ROUND(Pozisyon!$U$5*('Data - Simülasyon- P&amp;L'!V249-'Data - Simülasyon- P&amp;L'!C$3),6)</f>
        <v>2095.3249999999998</v>
      </c>
      <c r="AF249" s="16">
        <f>+ROUND(Pozisyon!$U$6*('Data - Simülasyon- P&amp;L'!W249-'Data - Simülasyon- P&amp;L'!D$3),6)</f>
        <v>4544.5124999999998</v>
      </c>
      <c r="AG249" s="16">
        <f>+ROUND(Pozisyon!$U$7*('Data - Simülasyon- P&amp;L'!X249-'Data - Simülasyon- P&amp;L'!E$3),6)</f>
        <v>0</v>
      </c>
      <c r="AH249" s="16">
        <f>+ROUND(Pozisyon!$U$8*('Data - Simülasyon- P&amp;L'!Y249-'Data - Simülasyon- P&amp;L'!F$3),6)</f>
        <v>13302.668</v>
      </c>
      <c r="AI249" s="16">
        <f>+ROUND(Pozisyon!$U$9*('Data - Simülasyon- P&amp;L'!Z249-'Data - Simülasyon- P&amp;L'!G$3),6)</f>
        <v>21249.998</v>
      </c>
      <c r="AJ249" s="16">
        <f>+ROUND(Pozisyon!$U$10*('Data - Simülasyon- P&amp;L'!AA249-'Data - Simülasyon- P&amp;L'!H$3),6)</f>
        <v>25855.362000000001</v>
      </c>
      <c r="AK249" s="16">
        <f>+SUM(AD249:AJ249)</f>
        <v>82682.521500000003</v>
      </c>
      <c r="AL249" s="16">
        <f t="shared" si="0"/>
        <v>162167.27799999999</v>
      </c>
    </row>
    <row r="250" spans="1:38" ht="15" thickBot="1" x14ac:dyDescent="0.35">
      <c r="A250" s="5" t="s">
        <v>531</v>
      </c>
      <c r="B250" s="6">
        <v>7</v>
      </c>
      <c r="C250" s="5">
        <v>10.039999999999999</v>
      </c>
      <c r="D250" s="6">
        <v>4</v>
      </c>
      <c r="E250" s="5">
        <v>1.04</v>
      </c>
      <c r="F250" s="5">
        <v>7.21</v>
      </c>
      <c r="G250" s="5">
        <v>3.68</v>
      </c>
      <c r="H250" s="5">
        <v>3.25</v>
      </c>
      <c r="J250" s="5" t="s">
        <v>531</v>
      </c>
      <c r="K250" s="11">
        <f>+ROUND(LN(B250/B251),6)</f>
        <v>-1.1364000000000001E-2</v>
      </c>
      <c r="L250" s="11">
        <f>+ROUND(LN(C250/C251),6)</f>
        <v>-1.4829999999999999E-2</v>
      </c>
      <c r="M250" s="11">
        <f>+ROUND(LN(D250/D251),6)</f>
        <v>5.0130000000000001E-3</v>
      </c>
      <c r="N250" s="11">
        <f>+ROUND(LN(E250/E251),6)</f>
        <v>-9.5689999999999994E-3</v>
      </c>
      <c r="O250" s="11">
        <f>+ROUND(LN(F250/F251),6)</f>
        <v>-1.2404999999999999E-2</v>
      </c>
      <c r="P250" s="11">
        <f>+ROUND(LN(G250/G251),6)</f>
        <v>-1.3495E-2</v>
      </c>
      <c r="Q250" s="11">
        <f>+ROUND(LN(H250/H251),6)</f>
        <v>-1.2233000000000001E-2</v>
      </c>
      <c r="R250" s="3"/>
      <c r="T250" s="5" t="s">
        <v>249</v>
      </c>
      <c r="U250" s="15">
        <f>+ROUND(B$3*EXP(K250),6)</f>
        <v>7.5141220000000004</v>
      </c>
      <c r="V250" s="15">
        <f>+ROUND(C$3*EXP(L250),6)</f>
        <v>9.2123629999999999</v>
      </c>
      <c r="W250" s="15">
        <f>+ROUND(D$3*EXP(M250),6)</f>
        <v>2.7839209999999999</v>
      </c>
      <c r="X250" s="15">
        <f>+ROUND(E$3*EXP(N250),6)</f>
        <v>1.1390480000000001</v>
      </c>
      <c r="Y250" s="15">
        <f>+ROUND(F$3*EXP(O250),6)</f>
        <v>4.9186050000000003</v>
      </c>
      <c r="Z250" s="15">
        <f>+ROUND(G$3*EXP(P250),6)</f>
        <v>4.2719589999999998</v>
      </c>
      <c r="AA250" s="15">
        <f>+ROUND(H$3*EXP(Q250),6)</f>
        <v>3.3784179999999999</v>
      </c>
      <c r="AB250" s="1">
        <v>248</v>
      </c>
      <c r="AC250" s="5" t="s">
        <v>249</v>
      </c>
      <c r="AD250" s="16">
        <f>+ROUND(Pozisyon!$U$4*('Data - Simülasyon- P&amp;L'!U250-'Data - Simülasyon- P&amp;L'!B$3),6)</f>
        <v>-12366.432000000001</v>
      </c>
      <c r="AE250" s="16">
        <f>+ROUND(Pozisyon!$U$5*('Data - Simülasyon- P&amp;L'!V250-'Data - Simülasyon- P&amp;L'!C$3),6)</f>
        <v>-3440.9250000000002</v>
      </c>
      <c r="AF250" s="16">
        <f>+ROUND(Pozisyon!$U$6*('Data - Simülasyon- P&amp;L'!W250-'Data - Simülasyon- P&amp;L'!D$3),6)</f>
        <v>261.01875000000001</v>
      </c>
      <c r="AG250" s="16">
        <f>+ROUND(Pozisyon!$U$7*('Data - Simülasyon- P&amp;L'!X250-'Data - Simülasyon- P&amp;L'!E$3),6)</f>
        <v>-3866.056</v>
      </c>
      <c r="AH250" s="16">
        <f>+ROUND(Pozisyon!$U$8*('Data - Simülasyon- P&amp;L'!Y250-'Data - Simülasyon- P&amp;L'!F$3),6)</f>
        <v>-13138.53</v>
      </c>
      <c r="AI250" s="16">
        <f>+ROUND(Pozisyon!$U$9*('Data - Simülasyon- P&amp;L'!Z250-'Data - Simülasyon- P&amp;L'!G$3),6)</f>
        <v>-17470.341</v>
      </c>
      <c r="AJ250" s="16">
        <f>+ROUND(Pozisyon!$U$10*('Data - Simülasyon- P&amp;L'!AA250-'Data - Simülasyon- P&amp;L'!H$3),6)</f>
        <v>-14595.281999999999</v>
      </c>
      <c r="AK250" s="16">
        <f>+SUM(AD250:AJ250)</f>
        <v>-64616.547250000003</v>
      </c>
      <c r="AL250" s="16">
        <f t="shared" si="0"/>
        <v>179619.467</v>
      </c>
    </row>
    <row r="251" spans="1:38" ht="15" thickBot="1" x14ac:dyDescent="0.35">
      <c r="A251" s="5" t="s">
        <v>532</v>
      </c>
      <c r="B251" s="6">
        <v>7.08</v>
      </c>
      <c r="C251" s="5">
        <v>10.19</v>
      </c>
      <c r="D251" s="6">
        <v>3.98</v>
      </c>
      <c r="E251" s="5">
        <v>1.05</v>
      </c>
      <c r="F251" s="5">
        <v>7.3</v>
      </c>
      <c r="G251" s="5">
        <v>3.73</v>
      </c>
      <c r="H251" s="5">
        <v>3.29</v>
      </c>
      <c r="J251" s="5" t="s">
        <v>532</v>
      </c>
      <c r="K251" s="11">
        <f>+ROUND(LN(B251/B252),6)</f>
        <v>-2.8210000000000002E-3</v>
      </c>
      <c r="L251" s="11">
        <f>+ROUND(LN(C251/C252),6)</f>
        <v>-2.9399999999999999E-3</v>
      </c>
      <c r="M251" s="11">
        <f>+ROUND(LN(D251/D252),6)</f>
        <v>-1.7434999999999999E-2</v>
      </c>
      <c r="N251" s="11">
        <f>+ROUND(LN(E251/E252),6)</f>
        <v>0</v>
      </c>
      <c r="O251" s="11">
        <f>+ROUND(LN(F251/F252),6)</f>
        <v>1.2404999999999999E-2</v>
      </c>
      <c r="P251" s="11">
        <f>+ROUND(LN(G251/G252),6)</f>
        <v>-2.6770000000000001E-3</v>
      </c>
      <c r="Q251" s="11">
        <f>+ROUND(LN(H251/H252),6)</f>
        <v>9.1599999999999997E-3</v>
      </c>
      <c r="R251" s="3"/>
      <c r="T251" s="5" t="s">
        <v>250</v>
      </c>
      <c r="U251" s="15">
        <f>+ROUND(B$3*EXP(K251),6)</f>
        <v>7.5785910000000003</v>
      </c>
      <c r="V251" s="15">
        <f>+ROUND(C$3*EXP(L251),6)</f>
        <v>9.3225510000000007</v>
      </c>
      <c r="W251" s="15">
        <f>+ROUND(D$3*EXP(M251),6)</f>
        <v>2.722124</v>
      </c>
      <c r="X251" s="15">
        <f>+ROUND(E$3*EXP(N251),6)</f>
        <v>1.1499999999999999</v>
      </c>
      <c r="Y251" s="15">
        <f>+ROUND(F$3*EXP(O251),6)</f>
        <v>5.0421620000000003</v>
      </c>
      <c r="Z251" s="15">
        <f>+ROUND(G$3*EXP(P251),6)</f>
        <v>4.3184240000000003</v>
      </c>
      <c r="AA251" s="15">
        <f>+ROUND(H$3*EXP(Q251),6)</f>
        <v>3.4514710000000002</v>
      </c>
      <c r="AB251" s="1">
        <v>249</v>
      </c>
      <c r="AC251" s="5" t="s">
        <v>250</v>
      </c>
      <c r="AD251" s="16">
        <f>+ROUND(Pozisyon!$U$4*('Data - Simülasyon- P&amp;L'!U251-'Data - Simülasyon- P&amp;L'!B$3),6)</f>
        <v>-3082.8960000000002</v>
      </c>
      <c r="AE251" s="16">
        <f>+ROUND(Pozisyon!$U$5*('Data - Simülasyon- P&amp;L'!V251-'Data - Simülasyon- P&amp;L'!C$3),6)</f>
        <v>-686.22500000000002</v>
      </c>
      <c r="AF251" s="16">
        <f>+ROUND(Pozisyon!$U$6*('Data - Simülasyon- P&amp;L'!W251-'Data - Simülasyon- P&amp;L'!D$3),6)</f>
        <v>-897.67499999999995</v>
      </c>
      <c r="AG251" s="16">
        <f>+ROUND(Pozisyon!$U$7*('Data - Simülasyon- P&amp;L'!X251-'Data - Simülasyon- P&amp;L'!E$3),6)</f>
        <v>0</v>
      </c>
      <c r="AH251" s="16">
        <f>+ROUND(Pozisyon!$U$8*('Data - Simülasyon- P&amp;L'!Y251-'Data - Simülasyon- P&amp;L'!F$3),6)</f>
        <v>13302.668</v>
      </c>
      <c r="AI251" s="16">
        <f>+ROUND(Pozisyon!$U$9*('Data - Simülasyon- P&amp;L'!Z251-'Data - Simülasyon- P&amp;L'!G$3),6)</f>
        <v>-3484.3760000000002</v>
      </c>
      <c r="AJ251" s="16">
        <f>+ROUND(Pozisyon!$U$10*('Data - Simülasyon- P&amp;L'!AA251-'Data - Simülasyon- P&amp;L'!H$3),6)</f>
        <v>11046.321</v>
      </c>
      <c r="AK251" s="16">
        <f>+SUM(AD251:AJ251)</f>
        <v>16197.816999999999</v>
      </c>
      <c r="AL251" s="16">
        <f t="shared" si="0"/>
        <v>179813.51975000001</v>
      </c>
    </row>
    <row r="252" spans="1:38" ht="15" thickBot="1" x14ac:dyDescent="0.35">
      <c r="A252" s="5" t="s">
        <v>533</v>
      </c>
      <c r="B252" s="6">
        <v>7.1</v>
      </c>
      <c r="C252" s="5">
        <v>10.220000000000001</v>
      </c>
      <c r="D252" s="6">
        <v>4.05</v>
      </c>
      <c r="E252" s="5">
        <v>1.05</v>
      </c>
      <c r="F252" s="5">
        <v>7.21</v>
      </c>
      <c r="G252" s="5">
        <v>3.74</v>
      </c>
      <c r="H252" s="5">
        <v>3.26</v>
      </c>
      <c r="J252" s="5" t="s">
        <v>533</v>
      </c>
      <c r="K252" s="11">
        <f>+ROUND(LN(B252/B253),6)</f>
        <v>1.848E-2</v>
      </c>
      <c r="L252" s="11">
        <f>+ROUND(LN(C252/C253),6)</f>
        <v>1.9589999999999998E-3</v>
      </c>
      <c r="M252" s="11">
        <f>+ROUND(LN(D252/D253),6)</f>
        <v>1.2423E-2</v>
      </c>
      <c r="N252" s="11">
        <f>+ROUND(LN(E252/E253),6)</f>
        <v>-9.4789999999999996E-3</v>
      </c>
      <c r="O252" s="11">
        <f>+ROUND(LN(F252/F253),6)</f>
        <v>-2.7699999999999999E-3</v>
      </c>
      <c r="P252" s="11">
        <f>+ROUND(LN(G252/G253),6)</f>
        <v>-2.6700000000000001E-3</v>
      </c>
      <c r="Q252" s="11">
        <f>+ROUND(LN(H252/H253),6)</f>
        <v>9.2449999999999997E-3</v>
      </c>
      <c r="R252" s="3"/>
      <c r="T252" s="5" t="s">
        <v>251</v>
      </c>
      <c r="U252" s="15">
        <f>+ROUND(B$3*EXP(K252),6)</f>
        <v>7.7417540000000002</v>
      </c>
      <c r="V252" s="15">
        <f>+ROUND(C$3*EXP(L252),6)</f>
        <v>9.3683350000000001</v>
      </c>
      <c r="W252" s="15">
        <f>+ROUND(D$3*EXP(M252),6)</f>
        <v>2.8046259999999998</v>
      </c>
      <c r="X252" s="15">
        <f>+ROUND(E$3*EXP(N252),6)</f>
        <v>1.139151</v>
      </c>
      <c r="Y252" s="15">
        <f>+ROUND(F$3*EXP(O252),6)</f>
        <v>4.9662240000000004</v>
      </c>
      <c r="Z252" s="15">
        <f>+ROUND(G$3*EXP(P252),6)</f>
        <v>4.318454</v>
      </c>
      <c r="AA252" s="15">
        <f>+ROUND(H$3*EXP(Q252),6)</f>
        <v>3.451765</v>
      </c>
      <c r="AB252" s="1">
        <v>250</v>
      </c>
      <c r="AC252" s="5" t="s">
        <v>251</v>
      </c>
      <c r="AD252" s="16">
        <f>+ROUND(Pozisyon!$U$4*('Data - Simülasyon- P&amp;L'!U252-'Data - Simülasyon- P&amp;L'!B$3),6)</f>
        <v>20412.576000000001</v>
      </c>
      <c r="AE252" s="16">
        <f>+ROUND(Pozisyon!$U$5*('Data - Simülasyon- P&amp;L'!V252-'Data - Simülasyon- P&amp;L'!C$3),6)</f>
        <v>458.375</v>
      </c>
      <c r="AF252" s="16">
        <f>+ROUND(Pozisyon!$U$6*('Data - Simülasyon- P&amp;L'!W252-'Data - Simülasyon- P&amp;L'!D$3),6)</f>
        <v>649.23749999999995</v>
      </c>
      <c r="AG252" s="16">
        <f>+ROUND(Pozisyon!$U$7*('Data - Simülasyon- P&amp;L'!X252-'Data - Simülasyon- P&amp;L'!E$3),6)</f>
        <v>-3829.6970000000001</v>
      </c>
      <c r="AH252" s="16">
        <f>+ROUND(Pozisyon!$U$8*('Data - Simülasyon- P&amp;L'!Y252-'Data - Simülasyon- P&amp;L'!F$3),6)</f>
        <v>-2948.0639999999999</v>
      </c>
      <c r="AI252" s="16">
        <f>+ROUND(Pozisyon!$U$9*('Data - Simülasyon- P&amp;L'!Z252-'Data - Simülasyon- P&amp;L'!G$3),6)</f>
        <v>-3475.346</v>
      </c>
      <c r="AJ252" s="16">
        <f>+ROUND(Pozisyon!$U$10*('Data - Simülasyon- P&amp;L'!AA252-'Data - Simülasyon- P&amp;L'!H$3),6)</f>
        <v>11149.514999999999</v>
      </c>
      <c r="AK252" s="16">
        <f>+SUM(AD252:AJ252)</f>
        <v>22416.5965</v>
      </c>
      <c r="AL252" s="16">
        <f t="shared" si="0"/>
        <v>187585.81699999998</v>
      </c>
    </row>
    <row r="253" spans="1:38" ht="15" thickBot="1" x14ac:dyDescent="0.35">
      <c r="A253" s="5" t="s">
        <v>534</v>
      </c>
      <c r="B253" s="6">
        <v>6.97</v>
      </c>
      <c r="C253" s="5">
        <v>10.199999999999999</v>
      </c>
      <c r="D253" s="6">
        <v>4</v>
      </c>
      <c r="E253" s="5">
        <v>1.06</v>
      </c>
      <c r="F253" s="5">
        <v>7.23</v>
      </c>
      <c r="G253" s="5">
        <v>3.75</v>
      </c>
      <c r="H253" s="5">
        <v>3.23</v>
      </c>
      <c r="J253" s="5" t="s">
        <v>534</v>
      </c>
      <c r="K253" s="11">
        <f>+ROUND(LN(B253/B254),6)</f>
        <v>4.313E-3</v>
      </c>
      <c r="L253" s="11">
        <f>+ROUND(LN(C253/C254),6)</f>
        <v>1.9629999999999999E-3</v>
      </c>
      <c r="M253" s="11">
        <f>+ROUND(LN(D253/D254),6)</f>
        <v>-9.9500000000000005E-3</v>
      </c>
      <c r="N253" s="11">
        <f>+ROUND(LN(E253/E254),6)</f>
        <v>0</v>
      </c>
      <c r="O253" s="11">
        <f>+ROUND(LN(F253/F254),6)</f>
        <v>1.1127E-2</v>
      </c>
      <c r="P253" s="11">
        <f>+ROUND(LN(G253/G254),6)</f>
        <v>2.6700000000000001E-3</v>
      </c>
      <c r="Q253" s="11">
        <f>+ROUND(LN(H253/H254),6)</f>
        <v>6.2110000000000004E-3</v>
      </c>
      <c r="R253" s="3"/>
      <c r="T253" s="5" t="s">
        <v>270</v>
      </c>
      <c r="U253" s="15">
        <f>+ROUND(B$3*EXP(K253),6)</f>
        <v>7.6328500000000004</v>
      </c>
      <c r="V253" s="15">
        <f>+ROUND(C$3*EXP(L253),6)</f>
        <v>9.3683720000000008</v>
      </c>
      <c r="W253" s="15">
        <f>+ROUND(D$3*EXP(M253),6)</f>
        <v>2.742575</v>
      </c>
      <c r="X253" s="15">
        <f>+ROUND(E$3*EXP(N253),6)</f>
        <v>1.1499999999999999</v>
      </c>
      <c r="Y253" s="15">
        <f>+ROUND(F$3*EXP(O253),6)</f>
        <v>5.0357219999999998</v>
      </c>
      <c r="Z253" s="15">
        <f>+ROUND(G$3*EXP(P253),6)</f>
        <v>4.341577</v>
      </c>
      <c r="AA253" s="15">
        <f>+ROUND(H$3*EXP(Q253),6)</f>
        <v>3.4413079999999998</v>
      </c>
      <c r="AB253" s="1">
        <v>251</v>
      </c>
      <c r="AC253" s="5" t="s">
        <v>270</v>
      </c>
      <c r="AD253" s="16">
        <f>+ROUND(Pozisyon!$U$4*('Data - Simülasyon- P&amp;L'!U253-'Data - Simülasyon- P&amp;L'!B$3),6)</f>
        <v>4730.3999999999996</v>
      </c>
      <c r="AE253" s="16">
        <f>+ROUND(Pozisyon!$U$5*('Data - Simülasyon- P&amp;L'!V253-'Data - Simülasyon- P&amp;L'!C$3),6)</f>
        <v>459.3</v>
      </c>
      <c r="AF253" s="16">
        <f>+ROUND(Pozisyon!$U$6*('Data - Simülasyon- P&amp;L'!W253-'Data - Simülasyon- P&amp;L'!D$3),6)</f>
        <v>-514.21875</v>
      </c>
      <c r="AG253" s="16">
        <f>+ROUND(Pozisyon!$U$7*('Data - Simülasyon- P&amp;L'!X253-'Data - Simülasyon- P&amp;L'!E$3),6)</f>
        <v>0</v>
      </c>
      <c r="AH253" s="16">
        <f>+ROUND(Pozisyon!$U$8*('Data - Simülasyon- P&amp;L'!Y253-'Data - Simülasyon- P&amp;L'!F$3),6)</f>
        <v>11924.508</v>
      </c>
      <c r="AI253" s="16">
        <f>+ROUND(Pozisyon!$U$9*('Data - Simülasyon- P&amp;L'!Z253-'Data - Simülasyon- P&amp;L'!G$3),6)</f>
        <v>3484.6770000000001</v>
      </c>
      <c r="AJ253" s="16">
        <f>+ROUND(Pozisyon!$U$10*('Data - Simülasyon- P&amp;L'!AA253-'Data - Simülasyon- P&amp;L'!H$3),6)</f>
        <v>7479.1080000000002</v>
      </c>
      <c r="AK253" s="16">
        <f>+SUM(AD253:AJ253)</f>
        <v>27563.774249999999</v>
      </c>
      <c r="AL253" s="16">
        <f t="shared" si="0"/>
        <v>203183.649</v>
      </c>
    </row>
    <row r="254" spans="1:38" ht="15" thickBot="1" x14ac:dyDescent="0.35">
      <c r="A254" s="5" t="s">
        <v>535</v>
      </c>
      <c r="B254" s="6">
        <v>6.94</v>
      </c>
      <c r="C254" s="5">
        <v>10.18</v>
      </c>
      <c r="D254" s="6">
        <v>4.04</v>
      </c>
      <c r="E254" s="5">
        <v>1.06</v>
      </c>
      <c r="F254" s="5">
        <v>7.15</v>
      </c>
      <c r="G254" s="5">
        <v>3.74</v>
      </c>
      <c r="H254" s="5">
        <v>3.21</v>
      </c>
      <c r="J254" s="5" t="s">
        <v>535</v>
      </c>
      <c r="K254" s="11">
        <v>-2.4199999999999999E-2</v>
      </c>
      <c r="L254" s="11">
        <v>-2.2342000000000001E-2</v>
      </c>
      <c r="M254" s="11">
        <v>-2.4719999999999998E-3</v>
      </c>
      <c r="N254" s="11">
        <v>-2.7909E-2</v>
      </c>
      <c r="O254" s="11">
        <v>-2.3498000000000002E-2</v>
      </c>
      <c r="P254" s="11">
        <v>-2.3779000000000002E-2</v>
      </c>
      <c r="Q254" s="11">
        <v>-2.1572000000000001E-2</v>
      </c>
      <c r="R254" s="3"/>
      <c r="T254" s="5" t="s">
        <v>536</v>
      </c>
      <c r="U254" s="15">
        <f>+ROUND(B$3*EXP(K254),6)</f>
        <v>7.4182880000000004</v>
      </c>
      <c r="V254" s="15">
        <f>+ROUND(C$3*EXP(L254),6)</f>
        <v>9.1434189999999997</v>
      </c>
      <c r="W254" s="15">
        <f>+ROUND(D$3*EXP(M254),6)</f>
        <v>2.7631610000000002</v>
      </c>
      <c r="X254" s="15">
        <f>+ROUND(E$3*EXP(N254),6)</f>
        <v>1.1183479999999999</v>
      </c>
      <c r="Y254" s="15">
        <f>+ROUND(F$3*EXP(O254),6)</f>
        <v>4.864344</v>
      </c>
      <c r="Z254" s="15">
        <f>+ROUND(G$3*EXP(P254),6)</f>
        <v>4.2282510000000002</v>
      </c>
      <c r="AA254" s="15">
        <f>+ROUND(H$3*EXP(Q254),6)</f>
        <v>3.3470140000000002</v>
      </c>
      <c r="AB254" s="1">
        <v>252</v>
      </c>
      <c r="AC254" s="5" t="s">
        <v>536</v>
      </c>
      <c r="AD254" s="16">
        <f>+ROUND(Pozisyon!$U$4*('Data - Simülasyon- P&amp;L'!U254-'Data - Simülasyon- P&amp;L'!B$3),6)</f>
        <v>-26166.527999999998</v>
      </c>
      <c r="AE254" s="16">
        <f>+ROUND(Pozisyon!$U$5*('Data - Simülasyon- P&amp;L'!V254-'Data - Simülasyon- P&amp;L'!C$3),6)</f>
        <v>-5164.5249999999996</v>
      </c>
      <c r="AF254" s="16">
        <f>+ROUND(Pozisyon!$U$6*('Data - Simülasyon- P&amp;L'!W254-'Data - Simülasyon- P&amp;L'!D$3),6)</f>
        <v>-128.23124999999999</v>
      </c>
      <c r="AG254" s="16">
        <f>+ROUND(Pozisyon!$U$7*('Data - Simülasyon- P&amp;L'!X254-'Data - Simülasyon- P&amp;L'!E$3),6)</f>
        <v>-11173.156000000001</v>
      </c>
      <c r="AH254" s="16">
        <f>+ROUND(Pozisyon!$U$8*('Data - Simülasyon- P&amp;L'!Y254-'Data - Simülasyon- P&amp;L'!F$3),6)</f>
        <v>-24750.383999999998</v>
      </c>
      <c r="AI254" s="16">
        <f>+ROUND(Pozisyon!$U$9*('Data - Simülasyon- P&amp;L'!Z254-'Data - Simülasyon- P&amp;L'!G$3),6)</f>
        <v>-30626.449000000001</v>
      </c>
      <c r="AJ254" s="16">
        <f>+ROUND(Pozisyon!$U$10*('Data - Simülasyon- P&amp;L'!AA254-'Data - Simülasyon- P&amp;L'!H$3),6)</f>
        <v>-25618.085999999999</v>
      </c>
      <c r="AK254" s="16">
        <f>+SUM(AD254:AJ254)</f>
        <v>-123627.35924999999</v>
      </c>
      <c r="AL254" s="16">
        <f t="shared" si="0"/>
        <v>233929.386</v>
      </c>
    </row>
    <row r="255" spans="1:38" x14ac:dyDescent="0.3">
      <c r="K255" s="3"/>
      <c r="L255" s="3"/>
      <c r="M255" s="3"/>
      <c r="N255" s="3"/>
      <c r="O255" s="3"/>
      <c r="P255" s="3"/>
      <c r="Q255" s="3"/>
      <c r="U255" s="2"/>
      <c r="V255" s="2"/>
      <c r="W255" s="2"/>
      <c r="X255" s="2"/>
      <c r="Y255" s="2"/>
      <c r="Z255" s="2"/>
      <c r="AA255" s="2"/>
      <c r="AD255" s="2"/>
      <c r="AE255" s="2"/>
      <c r="AF255" s="2"/>
      <c r="AG255" s="2"/>
      <c r="AH255" s="2"/>
      <c r="AI255" s="2"/>
      <c r="AJ255" s="2"/>
      <c r="AK255" s="2"/>
      <c r="AL255" s="2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2:B6"/>
  <sheetViews>
    <sheetView tabSelected="1" workbookViewId="0">
      <selection activeCell="G6" sqref="G6"/>
    </sheetView>
  </sheetViews>
  <sheetFormatPr defaultColWidth="9.109375" defaultRowHeight="14.4" x14ac:dyDescent="0.3"/>
  <cols>
    <col min="1" max="1" width="9.109375" style="1"/>
    <col min="2" max="2" width="20.33203125" style="1" bestFit="1" customWidth="1"/>
    <col min="3" max="16384" width="9.109375" style="1"/>
  </cols>
  <sheetData>
    <row r="2" spans="1:2" ht="15" thickBot="1" x14ac:dyDescent="0.35"/>
    <row r="3" spans="1:2" ht="15" thickBot="1" x14ac:dyDescent="0.35">
      <c r="A3" s="4" t="s">
        <v>0</v>
      </c>
      <c r="B3" s="12">
        <f>+SUM(Pozisyon!T4:T10)</f>
        <v>5355507.5</v>
      </c>
    </row>
    <row r="4" spans="1:2" ht="15" thickBot="1" x14ac:dyDescent="0.35">
      <c r="A4" s="4" t="s">
        <v>253</v>
      </c>
      <c r="B4" s="12">
        <f>+ABS(SMALL('Data - Simülasyon- P&amp;L'!AK3:AK254,3))</f>
        <v>253464.21250000002</v>
      </c>
    </row>
    <row r="5" spans="1:2" ht="15" thickBot="1" x14ac:dyDescent="0.35">
      <c r="A5" s="4" t="s">
        <v>252</v>
      </c>
      <c r="B5" s="13">
        <f>+B4/B3</f>
        <v>4.732776725641781E-2</v>
      </c>
    </row>
    <row r="6" spans="1:2" ht="23.4" thickBot="1" x14ac:dyDescent="0.35">
      <c r="A6" s="4" t="s">
        <v>271</v>
      </c>
      <c r="B6" s="12">
        <f>+ABS(AVERAGE('Data - Simülasyon- P&amp;L'!AL3:AL5))</f>
        <v>376306.76883333334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Pozisyon</vt:lpstr>
      <vt:lpstr>Data - Simülasyon- P&amp;L</vt:lpstr>
      <vt:lpstr>Sonuç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2020-03-03T08:14:06Z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714cc4d6-8be2-4abe-8cca-ca5273121c60</vt:lpwstr>
  </property>
</Properties>
</file>